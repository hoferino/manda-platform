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teinbeisconsulting.sharepoint.com/sites/SCMA/Extern/Datenaustausch - Vio - 10347/intern/"/>
    </mc:Choice>
  </mc:AlternateContent>
  <xr:revisionPtr revIDLastSave="0" documentId="8_{8517502B-5B48-4941-A8A2-4153B135E0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TG 2026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9" i="4"/>
  <c r="C12" i="4"/>
  <c r="C14" i="4"/>
  <c r="C16" i="4"/>
  <c r="C17" i="4"/>
  <c r="C22" i="4"/>
  <c r="C6" i="4"/>
  <c r="B7" i="4"/>
  <c r="C7" i="4" s="1"/>
  <c r="B48" i="4" l="1"/>
  <c r="B46" i="4"/>
  <c r="B45" i="4"/>
  <c r="B43" i="4"/>
  <c r="B42" i="4"/>
  <c r="B40" i="4"/>
  <c r="B39" i="4"/>
  <c r="B38" i="4"/>
  <c r="B37" i="4"/>
  <c r="B35" i="4"/>
  <c r="B32" i="4"/>
  <c r="B31" i="4"/>
  <c r="B29" i="4"/>
  <c r="B28" i="4"/>
  <c r="B11" i="4"/>
  <c r="B34" i="4" l="1"/>
  <c r="C11" i="4"/>
  <c r="B30" i="4"/>
  <c r="B13" i="4"/>
  <c r="C13" i="4" s="1"/>
  <c r="B36" i="4" l="1"/>
  <c r="B18" i="4"/>
  <c r="C18" i="4" s="1"/>
  <c r="B41" i="4" l="1"/>
  <c r="B21" i="4"/>
  <c r="C21" i="4" s="1"/>
  <c r="B44" i="4" l="1"/>
  <c r="B24" i="4"/>
  <c r="C24" i="4" s="1"/>
  <c r="B47" i="4" l="1"/>
</calcChain>
</file>

<file path=xl/sharedStrings.xml><?xml version="1.0" encoding="utf-8"?>
<sst xmlns="http://schemas.openxmlformats.org/spreadsheetml/2006/main" count="47" uniqueCount="28">
  <si>
    <t>VIO TRANSGRUP</t>
  </si>
  <si>
    <t>proiectie</t>
  </si>
  <si>
    <t>Months in Reporting Period</t>
  </si>
  <si>
    <t>Fiscal Year</t>
  </si>
  <si>
    <t>T.O./sales/revenues</t>
  </si>
  <si>
    <t>Cost of goods sold (-)</t>
  </si>
  <si>
    <t>Gross Trading Profit (Loss)</t>
  </si>
  <si>
    <t>Salaries and wages (-)</t>
  </si>
  <si>
    <t>Other expenses (-)</t>
  </si>
  <si>
    <t>Operating provisions (-)</t>
  </si>
  <si>
    <t>EBITDA</t>
  </si>
  <si>
    <t>Depreciation &amp; amortisation</t>
  </si>
  <si>
    <t>EBIT</t>
  </si>
  <si>
    <t>Other operating income</t>
  </si>
  <si>
    <t>Associates income (group/assoc)</t>
  </si>
  <si>
    <t>Interest Expense (-)</t>
  </si>
  <si>
    <t>Other financial income/exp (+/-)</t>
  </si>
  <si>
    <t>Operating Profit after Finance</t>
  </si>
  <si>
    <t>Extraordinary gains</t>
  </si>
  <si>
    <r>
      <t>Extraordinary losses (-)</t>
    </r>
    <r>
      <rPr>
        <sz val="8"/>
        <color rgb="FFFF0000"/>
        <rFont val="Calibri"/>
        <family val="2"/>
        <scheme val="minor"/>
      </rPr>
      <t>*</t>
    </r>
  </si>
  <si>
    <t>Profit Before Tax and Min Int.</t>
  </si>
  <si>
    <t>Taxation (-)</t>
  </si>
  <si>
    <t>Minority interest (-)</t>
  </si>
  <si>
    <t>Net Profit</t>
  </si>
  <si>
    <t>Dividends</t>
  </si>
  <si>
    <t>Common size P&amp;L</t>
  </si>
  <si>
    <t>Extraordinary losses (-)</t>
  </si>
  <si>
    <t>Dividend payout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</si>
</sst>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</font>
    <font>
      <b/>
      <u/>
      <sz val="8"/>
      <color indexed="8"/>
      <name val="Calibri"/>
      <family val="2"/>
    </font>
    <font>
      <sz val="8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indexed="18"/>
      <name val="Calibri"/>
      <family val="2"/>
    </font>
    <font>
      <b/>
      <sz val="8"/>
      <name val="Calibri"/>
      <family val="2"/>
    </font>
    <font>
      <b/>
      <u/>
      <sz val="12"/>
      <color indexed="8"/>
      <name val="Calibri"/>
      <family val="2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8" fillId="0" borderId="1" xfId="0" applyFont="1" applyBorder="1"/>
    <xf numFmtId="0" fontId="0" fillId="0" borderId="1" xfId="0" applyBorder="1"/>
    <xf numFmtId="0" fontId="6" fillId="0" borderId="1" xfId="0" applyFont="1" applyBorder="1"/>
    <xf numFmtId="164" fontId="4" fillId="0" borderId="1" xfId="1" applyNumberFormat="1" applyFont="1" applyBorder="1"/>
    <xf numFmtId="0" fontId="9" fillId="4" borderId="1" xfId="0" applyFont="1" applyFill="1" applyBorder="1"/>
    <xf numFmtId="3" fontId="0" fillId="0" borderId="0" xfId="0" applyNumberFormat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5" fillId="2" borderId="3" xfId="0" applyFont="1" applyFill="1" applyBorder="1"/>
    <xf numFmtId="3" fontId="10" fillId="0" borderId="4" xfId="0" applyNumberFormat="1" applyFont="1" applyBorder="1"/>
    <xf numFmtId="4" fontId="0" fillId="0" borderId="0" xfId="0" applyNumberFormat="1"/>
    <xf numFmtId="3" fontId="4" fillId="3" borderId="3" xfId="0" applyNumberFormat="1" applyFont="1" applyFill="1" applyBorder="1"/>
    <xf numFmtId="0" fontId="11" fillId="2" borderId="3" xfId="0" applyFont="1" applyFill="1" applyBorder="1"/>
    <xf numFmtId="165" fontId="0" fillId="0" borderId="0" xfId="0" applyNumberFormat="1"/>
    <xf numFmtId="164" fontId="4" fillId="0" borderId="1" xfId="1" applyNumberFormat="1" applyFont="1" applyFill="1" applyBorder="1"/>
    <xf numFmtId="9" fontId="0" fillId="0" borderId="0" xfId="1" applyFont="1"/>
    <xf numFmtId="9" fontId="4" fillId="0" borderId="0" xfId="1" applyFont="1" applyAlignment="1">
      <alignment horizontal="center"/>
    </xf>
    <xf numFmtId="9" fontId="4" fillId="0" borderId="0" xfId="1" applyFont="1"/>
    <xf numFmtId="164" fontId="4" fillId="0" borderId="0" xfId="1" applyNumberFormat="1" applyFont="1"/>
    <xf numFmtId="164" fontId="12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5C57-5E81-4665-8AC5-5CAC3522E094}">
  <dimension ref="A1:D48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26.140625" customWidth="1"/>
    <col min="3" max="3" width="7.85546875" style="20" customWidth="1"/>
    <col min="4" max="4" width="9.140625" bestFit="1" customWidth="1"/>
  </cols>
  <sheetData>
    <row r="1" spans="1:4" x14ac:dyDescent="0.25">
      <c r="A1" s="1" t="s">
        <v>0</v>
      </c>
      <c r="B1" s="2">
        <v>5.09</v>
      </c>
    </row>
    <row r="2" spans="1:4" x14ac:dyDescent="0.25">
      <c r="B2" s="10" t="s">
        <v>1</v>
      </c>
    </row>
    <row r="3" spans="1:4" x14ac:dyDescent="0.25">
      <c r="A3" s="11" t="s">
        <v>2</v>
      </c>
      <c r="B3" s="13">
        <v>12</v>
      </c>
      <c r="C3" s="21"/>
    </row>
    <row r="4" spans="1:4" ht="15.75" x14ac:dyDescent="0.25">
      <c r="A4" s="11" t="s">
        <v>3</v>
      </c>
      <c r="B4" s="17">
        <v>2026</v>
      </c>
      <c r="C4" s="21"/>
    </row>
    <row r="5" spans="1:4" x14ac:dyDescent="0.25">
      <c r="A5" s="11" t="s">
        <v>4</v>
      </c>
      <c r="B5" s="16">
        <v>33000000</v>
      </c>
      <c r="C5" s="23"/>
    </row>
    <row r="6" spans="1:4" x14ac:dyDescent="0.25">
      <c r="A6" s="11" t="s">
        <v>5</v>
      </c>
      <c r="B6" s="16">
        <v>22000000</v>
      </c>
      <c r="C6" s="23">
        <f>B6/$B$5</f>
        <v>0.66666666666666663</v>
      </c>
    </row>
    <row r="7" spans="1:4" x14ac:dyDescent="0.25">
      <c r="A7" s="12" t="s">
        <v>6</v>
      </c>
      <c r="B7" s="14">
        <f>+B5-B6</f>
        <v>11000000</v>
      </c>
      <c r="C7" s="23">
        <f t="shared" ref="C7:C24" si="0">B7/$B$5</f>
        <v>0.33333333333333331</v>
      </c>
    </row>
    <row r="8" spans="1:4" x14ac:dyDescent="0.25">
      <c r="A8" s="11" t="s">
        <v>7</v>
      </c>
      <c r="B8" s="16">
        <v>4050000</v>
      </c>
      <c r="C8" s="23">
        <f t="shared" si="0"/>
        <v>0.12272727272727273</v>
      </c>
    </row>
    <row r="9" spans="1:4" x14ac:dyDescent="0.25">
      <c r="A9" s="11" t="s">
        <v>8</v>
      </c>
      <c r="B9" s="16">
        <v>4225000</v>
      </c>
      <c r="C9" s="23">
        <f t="shared" si="0"/>
        <v>0.12803030303030302</v>
      </c>
    </row>
    <row r="10" spans="1:4" x14ac:dyDescent="0.25">
      <c r="A10" s="11" t="s">
        <v>9</v>
      </c>
      <c r="B10" s="16"/>
      <c r="C10" s="23"/>
    </row>
    <row r="11" spans="1:4" x14ac:dyDescent="0.25">
      <c r="A11" s="12" t="s">
        <v>10</v>
      </c>
      <c r="B11" s="14">
        <f>+B7-SUM(B8:B10)</f>
        <v>2725000</v>
      </c>
      <c r="C11" s="24">
        <f t="shared" si="0"/>
        <v>8.257575757575758E-2</v>
      </c>
      <c r="D11" s="9"/>
    </row>
    <row r="12" spans="1:4" x14ac:dyDescent="0.25">
      <c r="A12" s="11" t="s">
        <v>11</v>
      </c>
      <c r="B12" s="16">
        <v>1800000</v>
      </c>
      <c r="C12" s="23">
        <f t="shared" si="0"/>
        <v>5.4545454545454543E-2</v>
      </c>
    </row>
    <row r="13" spans="1:4" x14ac:dyDescent="0.25">
      <c r="A13" s="12" t="s">
        <v>12</v>
      </c>
      <c r="B13" s="14">
        <f>+B11-B12</f>
        <v>925000</v>
      </c>
      <c r="C13" s="24">
        <f t="shared" si="0"/>
        <v>2.803030303030303E-2</v>
      </c>
    </row>
    <row r="14" spans="1:4" x14ac:dyDescent="0.25">
      <c r="A14" s="11" t="s">
        <v>13</v>
      </c>
      <c r="B14" s="16">
        <v>325000</v>
      </c>
      <c r="C14" s="23">
        <f t="shared" si="0"/>
        <v>9.8484848484848477E-3</v>
      </c>
    </row>
    <row r="15" spans="1:4" x14ac:dyDescent="0.25">
      <c r="A15" s="11" t="s">
        <v>14</v>
      </c>
      <c r="B15" s="16"/>
      <c r="C15" s="23"/>
    </row>
    <row r="16" spans="1:4" x14ac:dyDescent="0.25">
      <c r="A16" s="11" t="s">
        <v>15</v>
      </c>
      <c r="B16" s="16">
        <v>195000</v>
      </c>
      <c r="C16" s="23">
        <f t="shared" si="0"/>
        <v>5.909090909090909E-3</v>
      </c>
    </row>
    <row r="17" spans="1:4" x14ac:dyDescent="0.25">
      <c r="A17" s="11" t="s">
        <v>16</v>
      </c>
      <c r="B17" s="16">
        <v>205000</v>
      </c>
      <c r="C17" s="23">
        <f t="shared" si="0"/>
        <v>6.2121212121212122E-3</v>
      </c>
    </row>
    <row r="18" spans="1:4" x14ac:dyDescent="0.25">
      <c r="A18" s="12" t="s">
        <v>17</v>
      </c>
      <c r="B18" s="14">
        <f>+B13+B14+B15-B16+B17</f>
        <v>1260000</v>
      </c>
      <c r="C18" s="23">
        <f t="shared" si="0"/>
        <v>3.8181818181818185E-2</v>
      </c>
    </row>
    <row r="19" spans="1:4" x14ac:dyDescent="0.25">
      <c r="A19" s="11" t="s">
        <v>18</v>
      </c>
      <c r="B19" s="16"/>
      <c r="C19" s="23"/>
    </row>
    <row r="20" spans="1:4" x14ac:dyDescent="0.25">
      <c r="A20" s="11" t="s">
        <v>19</v>
      </c>
      <c r="B20" s="16"/>
      <c r="C20" s="23"/>
    </row>
    <row r="21" spans="1:4" x14ac:dyDescent="0.25">
      <c r="A21" s="12" t="s">
        <v>20</v>
      </c>
      <c r="B21" s="14">
        <f t="shared" ref="B21" si="1">+B18+B19-B20</f>
        <v>1260000</v>
      </c>
      <c r="C21" s="23">
        <f t="shared" si="0"/>
        <v>3.8181818181818185E-2</v>
      </c>
    </row>
    <row r="22" spans="1:4" x14ac:dyDescent="0.25">
      <c r="A22" s="11" t="s">
        <v>21</v>
      </c>
      <c r="B22" s="16">
        <v>122718</v>
      </c>
      <c r="C22" s="23">
        <f t="shared" si="0"/>
        <v>3.7187272727272729E-3</v>
      </c>
    </row>
    <row r="23" spans="1:4" x14ac:dyDescent="0.25">
      <c r="A23" s="11" t="s">
        <v>22</v>
      </c>
      <c r="B23" s="16"/>
      <c r="C23" s="23"/>
    </row>
    <row r="24" spans="1:4" x14ac:dyDescent="0.25">
      <c r="A24" s="12" t="s">
        <v>23</v>
      </c>
      <c r="B24" s="14">
        <f t="shared" ref="B24" si="2">+B21-SUM(B22:B23)</f>
        <v>1137282</v>
      </c>
      <c r="C24" s="24">
        <f t="shared" si="0"/>
        <v>3.4463090909090908E-2</v>
      </c>
    </row>
    <row r="25" spans="1:4" x14ac:dyDescent="0.25">
      <c r="A25" s="11" t="s">
        <v>24</v>
      </c>
      <c r="B25" s="16"/>
      <c r="C25" s="22"/>
    </row>
    <row r="26" spans="1:4" x14ac:dyDescent="0.25">
      <c r="A26" s="4"/>
      <c r="B26" s="5"/>
    </row>
    <row r="27" spans="1:4" x14ac:dyDescent="0.25">
      <c r="A27" s="6" t="s">
        <v>25</v>
      </c>
      <c r="B27" s="5"/>
    </row>
    <row r="28" spans="1:4" x14ac:dyDescent="0.25">
      <c r="A28" s="3" t="s">
        <v>4</v>
      </c>
      <c r="B28" s="7">
        <f>+B5/B$5</f>
        <v>1</v>
      </c>
      <c r="D28" s="18"/>
    </row>
    <row r="29" spans="1:4" x14ac:dyDescent="0.25">
      <c r="A29" s="3" t="s">
        <v>5</v>
      </c>
      <c r="B29" s="7">
        <f>+B6/B$5</f>
        <v>0.66666666666666663</v>
      </c>
      <c r="D29" s="18"/>
    </row>
    <row r="30" spans="1:4" x14ac:dyDescent="0.25">
      <c r="A30" s="3" t="s">
        <v>6</v>
      </c>
      <c r="B30" s="7">
        <f>+B7/B$5</f>
        <v>0.33333333333333331</v>
      </c>
      <c r="D30" s="18"/>
    </row>
    <row r="31" spans="1:4" x14ac:dyDescent="0.25">
      <c r="A31" s="3" t="s">
        <v>7</v>
      </c>
      <c r="B31" s="7">
        <f t="shared" ref="B31" si="3">+B8/B$5</f>
        <v>0.12272727272727273</v>
      </c>
      <c r="D31" s="18"/>
    </row>
    <row r="32" spans="1:4" x14ac:dyDescent="0.25">
      <c r="A32" s="3" t="s">
        <v>8</v>
      </c>
      <c r="B32" s="7">
        <f t="shared" ref="B32" si="4">+B9/B$5</f>
        <v>0.12803030303030302</v>
      </c>
      <c r="D32" s="18"/>
    </row>
    <row r="33" spans="1:4" x14ac:dyDescent="0.25">
      <c r="A33" s="3" t="s">
        <v>9</v>
      </c>
      <c r="B33" s="5"/>
      <c r="D33" s="18"/>
    </row>
    <row r="34" spans="1:4" x14ac:dyDescent="0.25">
      <c r="A34" s="3" t="s">
        <v>10</v>
      </c>
      <c r="B34" s="7">
        <f>+B11/B$5</f>
        <v>8.257575757575758E-2</v>
      </c>
      <c r="D34" s="18"/>
    </row>
    <row r="35" spans="1:4" s="15" customFormat="1" x14ac:dyDescent="0.25">
      <c r="A35" s="3" t="s">
        <v>11</v>
      </c>
      <c r="B35" s="19">
        <f t="shared" ref="B35" si="5">+B12/B$5</f>
        <v>5.4545454545454543E-2</v>
      </c>
      <c r="C35" s="20"/>
      <c r="D35" s="18"/>
    </row>
    <row r="36" spans="1:4" x14ac:dyDescent="0.25">
      <c r="A36" s="3" t="s">
        <v>12</v>
      </c>
      <c r="B36" s="7">
        <f t="shared" ref="B36" si="6">+B13/B$5</f>
        <v>2.803030303030303E-2</v>
      </c>
      <c r="D36" s="18"/>
    </row>
    <row r="37" spans="1:4" x14ac:dyDescent="0.25">
      <c r="A37" s="3" t="s">
        <v>13</v>
      </c>
      <c r="B37" s="7">
        <f t="shared" ref="B37" si="7">+B14/B$5</f>
        <v>9.8484848484848477E-3</v>
      </c>
      <c r="D37" s="18"/>
    </row>
    <row r="38" spans="1:4" x14ac:dyDescent="0.25">
      <c r="A38" s="3" t="s">
        <v>14</v>
      </c>
      <c r="B38" s="7">
        <f t="shared" ref="B38" si="8">+B15/B$5</f>
        <v>0</v>
      </c>
      <c r="D38" s="18"/>
    </row>
    <row r="39" spans="1:4" x14ac:dyDescent="0.25">
      <c r="A39" s="3" t="s">
        <v>15</v>
      </c>
      <c r="B39" s="7">
        <f t="shared" ref="B39" si="9">+B16/B$5</f>
        <v>5.909090909090909E-3</v>
      </c>
      <c r="D39" s="18"/>
    </row>
    <row r="40" spans="1:4" x14ac:dyDescent="0.25">
      <c r="A40" s="3" t="s">
        <v>16</v>
      </c>
      <c r="B40" s="7">
        <f t="shared" ref="B40" si="10">+B17/B$5</f>
        <v>6.2121212121212122E-3</v>
      </c>
      <c r="D40" s="18"/>
    </row>
    <row r="41" spans="1:4" x14ac:dyDescent="0.25">
      <c r="A41" s="3" t="s">
        <v>17</v>
      </c>
      <c r="B41" s="7">
        <f t="shared" ref="B41" si="11">+B18/B$5</f>
        <v>3.8181818181818185E-2</v>
      </c>
      <c r="D41" s="18"/>
    </row>
    <row r="42" spans="1:4" x14ac:dyDescent="0.25">
      <c r="A42" s="3" t="s">
        <v>18</v>
      </c>
      <c r="B42" s="7">
        <f t="shared" ref="B42" si="12">+B19/B$5</f>
        <v>0</v>
      </c>
      <c r="D42" s="18"/>
    </row>
    <row r="43" spans="1:4" x14ac:dyDescent="0.25">
      <c r="A43" s="3" t="s">
        <v>26</v>
      </c>
      <c r="B43" s="7">
        <f t="shared" ref="B43" si="13">+B20/B$5</f>
        <v>0</v>
      </c>
      <c r="D43" s="18"/>
    </row>
    <row r="44" spans="1:4" x14ac:dyDescent="0.25">
      <c r="A44" s="3" t="s">
        <v>20</v>
      </c>
      <c r="B44" s="7">
        <f t="shared" ref="B44" si="14">+B21/B$5</f>
        <v>3.8181818181818185E-2</v>
      </c>
      <c r="D44" s="18"/>
    </row>
    <row r="45" spans="1:4" x14ac:dyDescent="0.25">
      <c r="A45" s="8" t="s">
        <v>21</v>
      </c>
      <c r="B45" s="7">
        <f t="shared" ref="B45" si="15">+B22/B$5</f>
        <v>3.7187272727272729E-3</v>
      </c>
      <c r="D45" s="18"/>
    </row>
    <row r="46" spans="1:4" x14ac:dyDescent="0.25">
      <c r="A46" s="3" t="s">
        <v>22</v>
      </c>
      <c r="B46" s="7">
        <f t="shared" ref="B46" si="16">+B23/B$5</f>
        <v>0</v>
      </c>
      <c r="D46" s="18"/>
    </row>
    <row r="47" spans="1:4" x14ac:dyDescent="0.25">
      <c r="A47" s="3" t="s">
        <v>23</v>
      </c>
      <c r="B47" s="7">
        <f t="shared" ref="B47" si="17">+B24/B$5</f>
        <v>3.4463090909090908E-2</v>
      </c>
      <c r="D47" s="18"/>
    </row>
    <row r="48" spans="1:4" x14ac:dyDescent="0.25">
      <c r="A48" s="3" t="s">
        <v>27</v>
      </c>
      <c r="B48" s="7">
        <f t="shared" ref="B48" si="18">+B25/B$5</f>
        <v>0</v>
      </c>
      <c r="D48" s="18"/>
    </row>
  </sheetData>
  <pageMargins left="0.45" right="0.45" top="0.5" bottom="0.5" header="0.3" footer="0.3"/>
  <pageSetup paperSize="9" scale="105" orientation="portrait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5e3186-fc26-4934-a0fc-345828dbdf10">
      <Terms xmlns="http://schemas.microsoft.com/office/infopath/2007/PartnerControls"/>
    </lcf76f155ced4ddcb4097134ff3c332f>
    <TaxCatchAll xmlns="a3f3c965-1005-42a8-bf2e-70de7e59020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18E90A-0584-4E20-902F-10D886DA347E}">
  <ds:schemaRefs>
    <ds:schemaRef ds:uri="http://schemas.microsoft.com/office/2006/metadata/properties"/>
    <ds:schemaRef ds:uri="http://schemas.microsoft.com/office/infopath/2007/PartnerControls"/>
    <ds:schemaRef ds:uri="175e3186-fc26-4934-a0fc-345828dbdf10"/>
    <ds:schemaRef ds:uri="a3f3c965-1005-42a8-bf2e-70de7e590206"/>
  </ds:schemaRefs>
</ds:datastoreItem>
</file>

<file path=customXml/itemProps2.xml><?xml version="1.0" encoding="utf-8"?>
<ds:datastoreItem xmlns:ds="http://schemas.openxmlformats.org/officeDocument/2006/customXml" ds:itemID="{62B28149-7C51-44FD-8288-92571C2AE0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5e3186-fc26-4934-a0fc-345828dbdf10"/>
    <ds:schemaRef ds:uri="a3f3c965-1005-42a8-bf2e-70de7e590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8E9BDB-0E9F-4B7F-9124-3FC05B7FFE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VTG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Bogdana Tudose - International Alexander RO</dc:creator>
  <cp:keywords/>
  <dc:description/>
  <cp:lastModifiedBy>magnus hoefer</cp:lastModifiedBy>
  <cp:revision/>
  <dcterms:created xsi:type="dcterms:W3CDTF">2015-06-05T18:17:20Z</dcterms:created>
  <dcterms:modified xsi:type="dcterms:W3CDTF">2026-01-07T18:04:41Z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