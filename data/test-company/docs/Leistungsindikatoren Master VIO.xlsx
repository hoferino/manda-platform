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inbeisconsulting.sharepoint.com/sites/SCMA/Server/01 - Projekte/Laufende Projekte/10347 - VIO Transport (VVO) - MH - BA/Situationsanalyse/02. Company General/"/>
    </mc:Choice>
  </mc:AlternateContent>
  <xr:revisionPtr revIDLastSave="32" documentId="8_{C577FE17-5E2F-4D36-9361-78FDB3B7E698}" xr6:coauthVersionLast="47" xr6:coauthVersionMax="47" xr10:uidLastSave="{45380948-F4B1-46F2-95B9-072DE68F7F08}"/>
  <bookViews>
    <workbookView xWindow="-120" yWindow="-120" windowWidth="29040" windowHeight="15720" xr2:uid="{4FABF9D6-5FCA-4F77-84A7-B9515AFE9A21}"/>
  </bookViews>
  <sheets>
    <sheet name="Dashboard" sheetId="11" r:id="rId1"/>
    <sheet name="Personal" sheetId="1" r:id="rId2"/>
    <sheet name="Sicherheit (Flotte und TAPA)" sheetId="3" r:id="rId3"/>
    <sheet name="Operativ" sheetId="4" r:id="rId4"/>
    <sheet name="Vertrieb" sheetId="5" r:id="rId5"/>
    <sheet name="Service" sheetId="6" r:id="rId6"/>
    <sheet name="Lager" sheetId="7" r:id="rId7"/>
    <sheet name="Umwelt" sheetId="8" r:id="rId8"/>
    <sheet name="Arbeitsschutz" sheetId="9" r:id="rId9"/>
    <sheet name="Sonstiges" sheetId="10" r:id="rId10"/>
  </sheets>
  <externalReferences>
    <externalReference r:id="rId11"/>
    <externalReference r:id="rId12"/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94" i="10" l="1"/>
  <c r="AB92" i="10"/>
  <c r="AB88" i="10"/>
  <c r="AA88" i="10"/>
  <c r="Z88" i="10"/>
  <c r="AB84" i="10"/>
  <c r="AB80" i="10"/>
  <c r="AB76" i="10"/>
  <c r="AA72" i="10"/>
  <c r="Z72" i="10"/>
  <c r="AB72" i="10" s="1"/>
  <c r="AB70" i="10"/>
  <c r="AB66" i="10"/>
  <c r="AB62" i="10"/>
  <c r="AB58" i="10"/>
  <c r="AB54" i="10"/>
  <c r="AB50" i="10"/>
  <c r="AB46" i="10"/>
  <c r="AB42" i="10"/>
  <c r="AB38" i="10"/>
  <c r="AA38" i="10"/>
  <c r="AB34" i="10"/>
  <c r="AA30" i="10"/>
  <c r="AB30" i="10" s="1"/>
  <c r="Z30" i="10"/>
  <c r="AB28" i="10"/>
  <c r="AA28" i="10"/>
  <c r="Z28" i="10"/>
  <c r="AB24" i="10"/>
  <c r="AB22" i="10"/>
  <c r="AB17" i="10"/>
  <c r="AA15" i="10"/>
  <c r="Z15" i="10"/>
  <c r="AB15" i="10" s="1"/>
  <c r="AB11" i="10"/>
  <c r="AB7" i="10"/>
  <c r="CA13" i="9"/>
  <c r="CO8" i="9"/>
  <c r="CO6" i="9"/>
  <c r="O42" i="8"/>
  <c r="O41" i="8"/>
  <c r="AR13" i="7"/>
  <c r="AR11" i="7"/>
  <c r="AR9" i="7"/>
  <c r="AR7" i="7"/>
  <c r="AK17" i="6"/>
  <c r="AR13" i="6"/>
  <c r="AR11" i="6"/>
  <c r="AR9" i="6"/>
  <c r="AR7" i="6"/>
  <c r="AR20" i="5"/>
  <c r="AR18" i="5"/>
  <c r="AR14" i="5"/>
  <c r="AP9" i="5"/>
  <c r="AM9" i="5"/>
  <c r="AK9" i="5"/>
  <c r="AJ9" i="5"/>
  <c r="AH9" i="5"/>
  <c r="AF9" i="5"/>
  <c r="AR9" i="5" s="1"/>
  <c r="AR7" i="5"/>
  <c r="AR8" i="4"/>
  <c r="AR24" i="3"/>
  <c r="AR20" i="3"/>
  <c r="AR16" i="3"/>
  <c r="AR12" i="3"/>
  <c r="AR10" i="3"/>
  <c r="AR8" i="3"/>
  <c r="R94" i="10"/>
  <c r="R92" i="10"/>
  <c r="Q88" i="10"/>
  <c r="R84" i="10"/>
  <c r="R80" i="10"/>
  <c r="R76" i="10"/>
  <c r="R72" i="10"/>
  <c r="R70" i="10"/>
  <c r="Q66" i="10"/>
  <c r="R62" i="10"/>
  <c r="R58" i="10"/>
  <c r="R54" i="10"/>
  <c r="R50" i="10"/>
  <c r="R46" i="10"/>
  <c r="R42" i="10"/>
  <c r="Q38" i="10"/>
  <c r="Q34" i="10"/>
  <c r="Q30" i="10"/>
  <c r="Q28" i="10"/>
  <c r="R24" i="10"/>
  <c r="R22" i="10"/>
  <c r="R17" i="10"/>
  <c r="R15" i="10"/>
  <c r="R11" i="10"/>
  <c r="R7" i="10"/>
  <c r="F11" i="10"/>
  <c r="F7" i="10"/>
  <c r="AU13" i="9"/>
  <c r="BI8" i="9"/>
  <c r="BI6" i="9"/>
  <c r="O23" i="8"/>
  <c r="O22" i="8"/>
  <c r="F94" i="10"/>
  <c r="F92" i="10"/>
  <c r="F88" i="10"/>
  <c r="F84" i="10"/>
  <c r="F80" i="10"/>
  <c r="F76" i="10"/>
  <c r="F72" i="10"/>
  <c r="F70" i="10"/>
  <c r="F66" i="10"/>
  <c r="F62" i="10"/>
  <c r="F58" i="10"/>
  <c r="F54" i="10"/>
  <c r="F50" i="10"/>
  <c r="F46" i="10"/>
  <c r="F42" i="10"/>
  <c r="F38" i="10"/>
  <c r="F34" i="10"/>
  <c r="F30" i="10"/>
  <c r="F28" i="10"/>
  <c r="F24" i="10"/>
  <c r="F22" i="10"/>
  <c r="F17" i="10"/>
  <c r="F15" i="10"/>
  <c r="O13" i="9"/>
  <c r="AC8" i="9"/>
  <c r="AC6" i="9"/>
  <c r="O6" i="8"/>
  <c r="O5" i="8"/>
  <c r="N13" i="7"/>
  <c r="N11" i="7"/>
  <c r="N9" i="7"/>
  <c r="N7" i="7"/>
  <c r="G24" i="6"/>
  <c r="G23" i="6" s="1"/>
  <c r="M23" i="6"/>
  <c r="L23" i="6"/>
  <c r="K23" i="6"/>
  <c r="J23" i="6"/>
  <c r="I23" i="6"/>
  <c r="H23" i="6"/>
  <c r="F23" i="6"/>
  <c r="E23" i="6"/>
  <c r="D23" i="6"/>
  <c r="C23" i="6"/>
  <c r="B23" i="6"/>
  <c r="G17" i="6"/>
  <c r="N13" i="6"/>
  <c r="N11" i="6"/>
  <c r="N9" i="6"/>
  <c r="N7" i="6"/>
  <c r="N18" i="5"/>
  <c r="N14" i="5"/>
  <c r="J9" i="5"/>
  <c r="F9" i="5"/>
  <c r="N7" i="5"/>
  <c r="D24" i="4"/>
  <c r="N8" i="4"/>
  <c r="N24" i="3"/>
  <c r="N20" i="3"/>
  <c r="N16" i="3"/>
  <c r="N12" i="3"/>
  <c r="N10" i="3"/>
  <c r="N8" i="3"/>
  <c r="AB24" i="1"/>
  <c r="AA24" i="1"/>
  <c r="Z24" i="1"/>
  <c r="Y24" i="1"/>
  <c r="X24" i="1"/>
  <c r="W24" i="1"/>
  <c r="V24" i="1"/>
  <c r="U24" i="1"/>
  <c r="T24" i="1"/>
  <c r="S24" i="1"/>
  <c r="R24" i="1"/>
  <c r="Q24" i="1"/>
  <c r="AB20" i="1"/>
  <c r="AA20" i="1"/>
  <c r="Z20" i="1"/>
  <c r="Y20" i="1"/>
  <c r="X20" i="1"/>
  <c r="W20" i="1"/>
  <c r="V20" i="1"/>
  <c r="U20" i="1"/>
  <c r="T20" i="1"/>
  <c r="S20" i="1"/>
  <c r="R20" i="1"/>
  <c r="Q20" i="1"/>
  <c r="AC14" i="1"/>
  <c r="V12" i="1"/>
  <c r="V9" i="1"/>
  <c r="AC6" i="1"/>
  <c r="M24" i="1"/>
  <c r="L24" i="1"/>
  <c r="K24" i="1"/>
  <c r="J24" i="1"/>
  <c r="I24" i="1"/>
  <c r="H24" i="1"/>
  <c r="G24" i="1"/>
  <c r="F24" i="1"/>
  <c r="E24" i="1"/>
  <c r="D24" i="1"/>
  <c r="C24" i="1"/>
  <c r="B24" i="1"/>
  <c r="M20" i="1"/>
  <c r="L20" i="1"/>
  <c r="K20" i="1"/>
  <c r="J20" i="1"/>
  <c r="I20" i="1"/>
  <c r="H20" i="1"/>
  <c r="G20" i="1"/>
  <c r="G6" i="1" s="1"/>
  <c r="F20" i="1"/>
  <c r="F6" i="1" s="1"/>
  <c r="E20" i="1"/>
  <c r="E6" i="1" s="1"/>
  <c r="D20" i="1"/>
  <c r="D6" i="1" s="1"/>
  <c r="C20" i="1"/>
  <c r="C6" i="1" s="1"/>
  <c r="B20" i="1"/>
  <c r="B6" i="1" s="1"/>
  <c r="H12" i="1"/>
  <c r="G12" i="1"/>
  <c r="G9" i="1"/>
  <c r="M6" i="1"/>
  <c r="L6" i="1"/>
  <c r="K6" i="1"/>
  <c r="J6" i="1"/>
  <c r="I6" i="1"/>
  <c r="H6" i="1"/>
  <c r="N9" i="5" l="1"/>
  <c r="N6" i="1"/>
</calcChain>
</file>

<file path=xl/sharedStrings.xml><?xml version="1.0" encoding="utf-8"?>
<sst xmlns="http://schemas.openxmlformats.org/spreadsheetml/2006/main" count="1481" uniqueCount="297">
  <si>
    <t>PO.03 Rekrutierung</t>
  </si>
  <si>
    <t>Januar</t>
  </si>
  <si>
    <t xml:space="preserve">Februar </t>
  </si>
  <si>
    <t xml:space="preserve">März </t>
  </si>
  <si>
    <t xml:space="preserve">April </t>
  </si>
  <si>
    <t xml:space="preserve">Mai </t>
  </si>
  <si>
    <t xml:space="preserve">Juni </t>
  </si>
  <si>
    <t xml:space="preserve">Juli </t>
  </si>
  <si>
    <t xml:space="preserve">August </t>
  </si>
  <si>
    <t xml:space="preserve">September </t>
  </si>
  <si>
    <t xml:space="preserve">Oktober </t>
  </si>
  <si>
    <t xml:space="preserve">November </t>
  </si>
  <si>
    <t xml:space="preserve">Dezember </t>
  </si>
  <si>
    <t>Durchschnitt/Gesamt/YTD</t>
  </si>
  <si>
    <t>Zielwert</t>
  </si>
  <si>
    <t xml:space="preserve"> I 1 = Mitarbeiterfluktuation (Fahrer, andere Mitarbeiterkategorien)</t>
  </si>
  <si>
    <t>I 2 = Mitarbeiterbindung im Unternehmen (Betriebszugehörigkeit &gt; 1 Jahr)</t>
  </si>
  <si>
    <t>&gt;50</t>
  </si>
  <si>
    <t>ok</t>
  </si>
  <si>
    <t>PO.04 Schulung, Sensibilisierung</t>
  </si>
  <si>
    <t>I 3 = Anteil geplanter Schulungen vs. durchgeführter Schulungen</t>
  </si>
  <si>
    <t>Austritte</t>
  </si>
  <si>
    <t>Mitarbeiter im Monat</t>
  </si>
  <si>
    <t>Prozent</t>
  </si>
  <si>
    <t>Austritte mit Betriebszugehörigkeit &gt; 1 Jahr</t>
  </si>
  <si>
    <t>I 4 = Anteil offener Stellen (Fahrer, andere Mitarbeiterkategorien)</t>
  </si>
  <si>
    <t>PO.20 Behandlung von Vorfällen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</si>
  <si>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</si>
  <si>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</si>
  <si>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</si>
  <si>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</si>
  <si>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</si>
  <si>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</si>
  <si>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</si>
  <si>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</si>
  <si>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</si>
  <si>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</si>
  <si>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</si>
  <si>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Durchschnitt/Gesamt</t>
  </si>
  <si>
    <t xml:space="preserve"> I 1 = Anzahl der Geldbußen (gegen das Unternehmen verhängt)</t>
  </si>
  <si>
    <t>156                &lt;13/luna (-30%)</t>
  </si>
  <si>
    <t xml:space="preserve"> I 2 = Unfallquote.*</t>
  </si>
  <si>
    <t>&lt;1%</t>
  </si>
  <si>
    <t xml:space="preserve"> I 3 = Procentul incidentelor de furt</t>
  </si>
  <si>
    <t>PO.05 Transportsicherheit</t>
  </si>
  <si>
    <t>I 1 = Numar incidente furt</t>
  </si>
  <si>
    <t>PO.17 Verhinderung illegaler Mitfahrten</t>
  </si>
  <si>
    <t>I 2 = Anzahl der Vorfälle illegaler Mitfahrt</t>
  </si>
  <si>
    <t>PO.21 Zugang zum Gelände</t>
  </si>
  <si>
    <t>I 3 = Numar Incidente acces neautorizat in incinta</t>
  </si>
  <si>
    <t>PO.08 Planung und Durchführung des Transports</t>
  </si>
  <si>
    <t>I 1 = Leer-km / Voll-km</t>
  </si>
  <si>
    <t>&lt;10%</t>
  </si>
  <si>
    <t>Anzahl der Diebstahlvorfälle aus Zwischen-LKWs</t>
  </si>
  <si>
    <t>ANZAHL ZWISCHENAUFTRÄGE</t>
  </si>
  <si>
    <t>PO.06  Kundenbeziehung</t>
  </si>
  <si>
    <t>I 1 = Anzahl der Reklamationen</t>
  </si>
  <si>
    <t>max. 10</t>
  </si>
  <si>
    <t>I 2 = Wert der Reklamationen (Lei)</t>
  </si>
  <si>
    <t>100.000
(-25%)</t>
  </si>
  <si>
    <t>PO.09 Transportvermittlung</t>
  </si>
  <si>
    <t>I 3 = Anteil der Vorfälle (Schaden/Diebstahl) während Zwischenfahrten</t>
  </si>
  <si>
    <t>PO.14 Monitoring der Kundenzufriedenheit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</si>
  <si>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</si>
  <si>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</si>
  <si>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</si>
  <si>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</si>
  <si>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</si>
  <si>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</si>
  <si>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</si>
  <si>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</si>
  <si>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</si>
  <si>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</si>
  <si>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</si>
  <si>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</si>
  <si>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I 1 = Grad der Kundenzufriedenheit</t>
  </si>
  <si>
    <t>&gt;95%</t>
  </si>
  <si>
    <t>PO.10 Durchführung von Wartungsarbeiten am Fuhrpark</t>
  </si>
  <si>
    <t>I 1 = Nichteinhaltung der Wartungsplanung (überfällige Wartungen / Gesamtwartungen)</t>
  </si>
  <si>
    <t>&lt; 5 %</t>
  </si>
  <si>
    <t>I 2 = Anzahl der Reklamationen</t>
  </si>
  <si>
    <t xml:space="preserve">&lt; 5 </t>
  </si>
  <si>
    <t>I 3 = Retourenquote der Teile</t>
  </si>
  <si>
    <t>I 4 = Nichteinhaltung der Rückgabefrist für Teile</t>
  </si>
  <si>
    <t>PO.11  Beschaffung von Ersatzteilen und Verbrauchsmaterialien</t>
  </si>
  <si>
    <t>I 1 = Anteil konformer Lieferanten</t>
  </si>
  <si>
    <t>&gt; 95%</t>
  </si>
  <si>
    <t>I 3  - Teile-Retourenquote</t>
  </si>
  <si>
    <t>Anzahl Teile-Retouren</t>
  </si>
  <si>
    <t>Gesamtzahl bestellter Teile</t>
  </si>
  <si>
    <t>PO.19 Warenannahme/-auslieferung</t>
  </si>
  <si>
    <t xml:space="preserve">Januar </t>
  </si>
  <si>
    <t>I 1 =   Integrität der gelagerten/umgeschlagenen Ware (Anzahl beschädigter Paletten während Handhabung/Lagerung)</t>
  </si>
  <si>
    <t>I 2  = Einhaltung der Ladezeiten (Anzahl der Überschreitungen der Ladezeiten)</t>
  </si>
  <si>
    <t>I 3  = Anzahl der Reklamationen</t>
  </si>
  <si>
    <t>I 4  = Wert der Reklamationen</t>
  </si>
  <si>
    <t>Kategorie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</si>
  <si>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</si>
  <si>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</si>
  <si>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</si>
  <si>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</si>
  <si>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</si>
  <si>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</si>
  <si>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</si>
  <si>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</si>
  <si>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</si>
  <si>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</si>
  <si>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</si>
  <si>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</si>
  <si>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Gesamt</t>
  </si>
  <si>
    <t>Umweltvorfälle</t>
  </si>
  <si>
    <t>ADR-Unfälle</t>
  </si>
  <si>
    <t>Abwasseranalysen</t>
  </si>
  <si>
    <t>Ungureni, Dragomiresti</t>
  </si>
  <si>
    <t xml:space="preserve">Kategorie </t>
  </si>
  <si>
    <t>Analysierter Parameter</t>
  </si>
  <si>
    <t>Valori maxime admise conform L458/2002</t>
  </si>
  <si>
    <t>Ermittelte Werte gemäß Analysebericht*</t>
  </si>
  <si>
    <t>Anmerkungen</t>
  </si>
  <si>
    <t>Chimica - apa potabila</t>
  </si>
  <si>
    <t>Azotati</t>
  </si>
  <si>
    <t>3,88 mg/l</t>
  </si>
  <si>
    <t>OK</t>
  </si>
  <si>
    <t>Azotiti</t>
  </si>
  <si>
    <t>&lt;LOD mg/l</t>
  </si>
  <si>
    <t>Cloruri</t>
  </si>
  <si>
    <t>12,924 mg/l</t>
  </si>
  <si>
    <t>Microbiologica - Apa potabila</t>
  </si>
  <si>
    <t>Bacterii coliforme</t>
  </si>
  <si>
    <t>0ufc/100ml</t>
  </si>
  <si>
    <t>E.coli</t>
  </si>
  <si>
    <t>Enterococi intestinali</t>
  </si>
  <si>
    <t>Analyseberichte 22898/06.12.2022 und 22897/07.12.2022</t>
  </si>
  <si>
    <t>Unfälle und Zwischenfälle</t>
  </si>
  <si>
    <t>Arbeitsunfälle</t>
  </si>
  <si>
    <t>Leichte Unfälle</t>
  </si>
  <si>
    <t>Schulung</t>
  </si>
  <si>
    <t>Durchschnitt</t>
  </si>
  <si>
    <t>Durchgeführte Schulungen vs. geplante Schulungen</t>
  </si>
  <si>
    <t>nok</t>
  </si>
  <si>
    <t xml:space="preserve">Lärmanalysen </t>
  </si>
  <si>
    <t>Ungureni</t>
  </si>
  <si>
    <t>Standort</t>
  </si>
  <si>
    <t xml:space="preserve">Zulässige Höchstwerte </t>
  </si>
  <si>
    <t xml:space="preserve">Messungen des Innenlärms </t>
  </si>
  <si>
    <t>Service</t>
  </si>
  <si>
    <t>90 dB/A</t>
  </si>
  <si>
    <t>80 dB/A</t>
  </si>
  <si>
    <t>Technikraum Kompressor</t>
  </si>
  <si>
    <t>85 dB/A</t>
  </si>
  <si>
    <t>Reparaturwerkstatt</t>
  </si>
  <si>
    <t>Lager</t>
  </si>
  <si>
    <t>83 dB/A</t>
  </si>
  <si>
    <t>75 dB/A</t>
  </si>
  <si>
    <t>Logistiklager</t>
  </si>
  <si>
    <t>* Protokoll zur Messung von Industrielärm herausgegeben von der Direktion für öffentliche Gesundheit des Kreises Dambovita 120/09.12.2022</t>
  </si>
  <si>
    <t xml:space="preserve">CO2-Schadstoffanalysen </t>
  </si>
  <si>
    <t>Messungen emittierter Schadstoffe</t>
  </si>
  <si>
    <t>117 mg CO/mc aer</t>
  </si>
  <si>
    <t>14,60 mg CO/mc aer</t>
  </si>
  <si>
    <t>Karosserie (Argon-Schweißen)</t>
  </si>
  <si>
    <t>* Schadstoff-Messprotokoll herausgegeben von der Direktion für öffentliche Gesundheit des Kreises Dambovita 16/06.12.2022</t>
  </si>
  <si>
    <t>PO.01 Managementbewertung</t>
  </si>
  <si>
    <t>2019</t>
  </si>
  <si>
    <t>I 1 = Fristgerecht abgeschlossene Verbesserungsmaßnahmen aus der Managementbewertung</t>
  </si>
  <si>
    <t>mind. 90%</t>
  </si>
  <si>
    <t>PS.01 Erstellung von Zielen, Kennzahlen und Managementprogrammen</t>
  </si>
  <si>
    <t>I 2 = Erfüllungsgrad der Ziele aus dem Managementprogramm</t>
  </si>
  <si>
    <t>PS.03 Compliance-Verpflichtungen</t>
  </si>
  <si>
    <t>I 1 = Compliance-Quote gegenüber der Gesetzgebung nach der Konformitätsbewertung</t>
  </si>
  <si>
    <t>I 2 = Anteil der Kontrollen ohne Bußgelder</t>
  </si>
  <si>
    <t>Risikomanagement</t>
  </si>
  <si>
    <t>PS.04 I 1 = Wesentliche Umweltaspekte</t>
  </si>
  <si>
    <t>PS.05 I 1 Globales Risikoniveau am Arbeitsplatz</t>
  </si>
  <si>
    <t>sinkender Trend</t>
  </si>
  <si>
    <t>PS.02 Kommunikation</t>
  </si>
  <si>
    <t>I1 = Teilnahme der Mitarbeiter an Zufriedenheitsumfragen</t>
  </si>
  <si>
    <t>&gt;50%</t>
  </si>
  <si>
    <t>I2 = Zufriedenheitsgrad der Mitarbeiter im Arbeitsschutz (SSM)</t>
  </si>
  <si>
    <t>&gt;85%</t>
  </si>
  <si>
    <t>PO.11 Beschaffung von Ersatzteilen und Verbrauchsmaterialien</t>
  </si>
  <si>
    <t>I 1 = Gefährliche Stoffe ohne aktualisierte FDS beschafft</t>
  </si>
  <si>
    <t>&lt;1</t>
  </si>
  <si>
    <t>PO.25 Beschaffung von Materialien, Gütern und Dienstleistungen</t>
  </si>
  <si>
    <t>&gt;90%</t>
  </si>
  <si>
    <t>PO.12 Instandhaltung von Infrastruktur und Ausrüstung</t>
  </si>
  <si>
    <t>I1 = Einhaltung des Plans für vorbeugende Wartung</t>
  </si>
  <si>
    <t>PO.13 Kontrolle von Mess- und Überwachungsgeräten</t>
  </si>
  <si>
    <t>I1 = Einhaltung der Prüftermine für DMMs</t>
  </si>
  <si>
    <t>PS.10 Management dokumentierter Informationen</t>
  </si>
  <si>
    <t>I1 = Anteil unkontrollierter Dokumente nach dem internen Audit</t>
  </si>
  <si>
    <t>PO.26 GDPR</t>
  </si>
  <si>
    <t>I2 = Anzahl GDPR-Bußgelder</t>
  </si>
  <si>
    <t>PO.23 Aufbewahrung und Archivierung von Papierdokumenten</t>
  </si>
  <si>
    <t>I3 = Einhaltung der Fristen zur Dokumentenarchivierung</t>
  </si>
  <si>
    <t>steigender Trend</t>
  </si>
  <si>
    <t>PS.06 Operative Kontrolle</t>
  </si>
  <si>
    <t>I4 = Anzahl der Lieferanten ohne SSM-Vereinbarung</t>
  </si>
  <si>
    <t>PS.07 Internes Audit</t>
  </si>
  <si>
    <t xml:space="preserve">I3 = Anzahl der im internen Audit festgestellten Nichtkonformitäten </t>
  </si>
  <si>
    <t>schwankender Trend</t>
  </si>
  <si>
    <t>PO.16 Überwachung der Leistung in Qualität, Umwelt, Arbeitsschutz</t>
  </si>
  <si>
    <t>I1 =0  Arbeitsunfälle und Zwischenfälle am Arbeitsplatz</t>
  </si>
  <si>
    <t>I2 = Compliance-Quote bei monatlichen internen Kontrollen</t>
  </si>
  <si>
    <t xml:space="preserve">PS.11 Vorbereitung auf Notfälle </t>
  </si>
  <si>
    <t>I5 = Einhaltung des Plans für Notfallübungen (SU)</t>
  </si>
  <si>
    <t>PS.08  Nichtkonformität Umwelt, Gesundheit und Arbeitsschutz / Korrekturmaßnahme</t>
  </si>
  <si>
    <t>I3 = Anteil der Umweltvorfälle</t>
  </si>
  <si>
    <t>PS.09 Behandlung von Zwischenfällen / Arbeitsunfällen</t>
  </si>
  <si>
    <t>I2 = Anteil der Arbeitsunfälle</t>
  </si>
  <si>
    <t xml:space="preserve">PS.12 Nichtkonformitäten. Korrekturmaßnahme </t>
  </si>
  <si>
    <t>I1 = Fristgerecht abgeschlossene Korrekturmaßnahmen</t>
  </si>
  <si>
    <t>PO.20 Behandlung von Vorfällen (Verkehrsunfälle, Diebstähle)</t>
  </si>
  <si>
    <t>I4 = Anteil der Verkehrsunfälle</t>
  </si>
  <si>
    <t>I5 = Anteil der Diebstahlvorfälle</t>
  </si>
  <si>
    <t>29                &lt;13/luna (-30%)</t>
  </si>
  <si>
    <t>Zulässige Höchstwerte gemäß NTPA-002 - HG188/2002</t>
  </si>
  <si>
    <t>PH</t>
  </si>
  <si>
    <t>6.5-8.5</t>
  </si>
  <si>
    <t>7.6 (la 20 gradeC)</t>
  </si>
  <si>
    <t>Physikalisch-chemische Analysen – Abwasser</t>
  </si>
  <si>
    <t>Chemischer Sauerstoffbedarf</t>
  </si>
  <si>
    <t>295.49 mg/L</t>
  </si>
  <si>
    <t>Ammonium</t>
  </si>
  <si>
    <t>0.76 mg/L</t>
  </si>
  <si>
    <t>Anionische Tenside</t>
  </si>
  <si>
    <t>0.20 mg/L</t>
  </si>
  <si>
    <t>Gesamte Schwebstoffe</t>
  </si>
  <si>
    <t>186 mg/L</t>
  </si>
  <si>
    <t>Biochemischer Sauerstoffbedarf nach 5 Tagen (CBO5)</t>
  </si>
  <si>
    <t>107 mg/L</t>
  </si>
  <si>
    <t>Extrahierbare Stoffe</t>
  </si>
  <si>
    <t>&lt;20 mg/L</t>
  </si>
  <si>
    <t>Analysebericht 120/31.01.2024</t>
  </si>
  <si>
    <t>* Protokoll zur Messung von Industrielärm herausgegeben von der Direktion für öffentliche Gesundheit des Kreises Dambovita 95/07.12.2023</t>
  </si>
  <si>
    <t>23,11 mg CO/mc aer</t>
  </si>
  <si>
    <t>* Schadstoff-Messprotokoll herausgegeben von der Direktion für öffentliche Gesundheit des Kreises Dambovita 14/06.12.2023</t>
  </si>
  <si>
    <t>Ziel</t>
  </si>
  <si>
    <t>156                &lt;13/Monat (-25%)</t>
  </si>
  <si>
    <t>100.000
(+89%)</t>
  </si>
  <si>
    <t>I 2 = Anteil der Kunden mit Wertzuwachs (ggü. Vorjahr)</t>
  </si>
  <si>
    <t>&lt; 1 %</t>
  </si>
  <si>
    <t>Analysen Trinkwasser</t>
  </si>
  <si>
    <t>Zulässige Höchstwerte gemäß OG 7/2023 und HG 971/2023</t>
  </si>
  <si>
    <t>Chemisch – Trinkwasser</t>
  </si>
  <si>
    <t xml:space="preserve">Ammonium </t>
  </si>
  <si>
    <t>0.50 mg/l</t>
  </si>
  <si>
    <t>SLQ</t>
  </si>
  <si>
    <t>Nitrite</t>
  </si>
  <si>
    <t>Nitrate</t>
  </si>
  <si>
    <t>50 mg/l</t>
  </si>
  <si>
    <t>Trübung</t>
  </si>
  <si>
    <t>Für Verbraucher akzeptabel und ohne anormale Veränderungen</t>
  </si>
  <si>
    <t>Summe aus Calcium und Magnesium (Gesamthärte)</t>
  </si>
  <si>
    <t>mindestens 5 deutsche Härtegrade</t>
  </si>
  <si>
    <t>Permanganatindex (Oxidierbarkeit)</t>
  </si>
  <si>
    <t>5.0 mgO2/l</t>
  </si>
  <si>
    <t>Mikrobiologisch – Trinkwasser</t>
  </si>
  <si>
    <t>Coliforme Bakterien</t>
  </si>
  <si>
    <t>Intestinale Enterokokken</t>
  </si>
  <si>
    <t>Analyseberichte 6294 und 6296/25.10.2024</t>
  </si>
  <si>
    <t>SLQ – unterhalb der Quantifizierungsgrenze der Methode</t>
  </si>
  <si>
    <t>Analysen Abwasser</t>
  </si>
  <si>
    <t>Zulässige Höchstwerte gemäß NTPA-002</t>
  </si>
  <si>
    <t>pH</t>
  </si>
  <si>
    <t>Chemischer Sauerstoffbedarf (CSB)</t>
  </si>
  <si>
    <t>Gesamtschwebstoffe</t>
  </si>
  <si>
    <t>Biochemischer Sauerstoffbedarf nach 5 Tagen (BSB5)</t>
  </si>
  <si>
    <t>Analysebericht 44/20.01.2025 – Wasserversorgungsunternehmen Targoviste</t>
  </si>
  <si>
    <t>Unfälle und Vorfälle</t>
  </si>
  <si>
    <t xml:space="preserve">Lärmmessungen </t>
  </si>
  <si>
    <t xml:space="preserve">Innenlärmmessungen </t>
  </si>
  <si>
    <t>* Prüfbericht zur Bestimmung des Industrielärms, ausgestellt von der Direktion für öffentliche Gesundheit des Kreises Dâmbovița 120/09.12.2022</t>
  </si>
  <si>
    <t xml:space="preserve">CO2-Emissionsmessungen </t>
  </si>
  <si>
    <t>Karosseriebau (Argon-Schutzgasschweißen)</t>
  </si>
  <si>
    <t>* Prüfbericht zur Bestimmung der Luftschadstoffe, ausgestellt von der Direktion für öffentliche Gesundheit des Kreises Dâmbovița 16/06.12.2022</t>
  </si>
  <si>
    <t xml:space="preserve">Emissions-/Schadstoffmessungen
Heizgerät CLU </t>
  </si>
  <si>
    <t>CO</t>
  </si>
  <si>
    <t xml:space="preserve">Service – Bereich HITON-Heizgerät mit CLU </t>
  </si>
  <si>
    <t>SLD</t>
  </si>
  <si>
    <t xml:space="preserve">Reparaturwerkstatt – während des Betriebs der Anlage </t>
  </si>
  <si>
    <t>NO2</t>
  </si>
  <si>
    <t>1.91 mg CO/mc aer</t>
  </si>
  <si>
    <t>SO2</t>
  </si>
  <si>
    <t>2.7 mg CO/mc aer</t>
  </si>
  <si>
    <t>* Prüfbericht zur Bestimmung der Luftschadstoffe, ausgestellt von der Direktion für öffentliche Gesundheit des Kreises Dâmbovița 1/21.01.2025</t>
  </si>
  <si>
    <t>fallender Trend</t>
  </si>
  <si>
    <t>NOK</t>
  </si>
  <si>
    <r>
      <t>Personal:</t>
    </r>
    <r>
      <rPr>
        <sz val="11"/>
        <color theme="1"/>
        <rFont val="Aptos Narrow"/>
        <family val="2"/>
        <scheme val="minor"/>
      </rPr>
      <t xml:space="preserve"> IM-tauglich ist vor allem die </t>
    </r>
    <r>
      <rPr>
        <b/>
        <sz val="11"/>
        <color theme="1"/>
        <rFont val="Aptos Narrow"/>
        <family val="2"/>
        <scheme val="minor"/>
      </rPr>
      <t>Mitarbeiterfluktuation</t>
    </r>
    <r>
      <rPr>
        <sz val="11"/>
        <color theme="1"/>
        <rFont val="Aptos Narrow"/>
        <family val="2"/>
        <scheme val="minor"/>
      </rPr>
      <t xml:space="preserve"> mit sauberer Zeitreihe: Ø </t>
    </r>
    <r>
      <rPr>
        <b/>
        <sz val="11"/>
        <color theme="1"/>
        <rFont val="Aptos Narrow"/>
        <family val="2"/>
        <scheme val="minor"/>
      </rPr>
      <t>5,26% (2022) → 6,35% (2023) → 5,70% (2024)</t>
    </r>
    <r>
      <rPr>
        <sz val="11"/>
        <color theme="1"/>
        <rFont val="Aptos Narrow"/>
        <family val="2"/>
        <scheme val="minor"/>
      </rPr>
      <t xml:space="preserve"> und damit unter Ziel (9%). Der </t>
    </r>
    <r>
      <rPr>
        <b/>
        <sz val="11"/>
        <color theme="1"/>
        <rFont val="Aptos Narrow"/>
        <family val="2"/>
        <scheme val="minor"/>
      </rPr>
      <t>Anteil offener Stellen</t>
    </r>
    <r>
      <rPr>
        <sz val="11"/>
        <color theme="1"/>
        <rFont val="Aptos Narrow"/>
        <family val="2"/>
        <scheme val="minor"/>
      </rPr>
      <t xml:space="preserve"> ist nur ab 2023 befüllt (Ø </t>
    </r>
    <r>
      <rPr>
        <b/>
        <sz val="11"/>
        <color theme="1"/>
        <rFont val="Aptos Narrow"/>
        <family val="2"/>
        <scheme val="minor"/>
      </rPr>
      <t>4,85% 2023 → 5,24% 2024</t>
    </r>
    <r>
      <rPr>
        <sz val="11"/>
        <color theme="1"/>
        <rFont val="Aptos Narrow"/>
        <family val="2"/>
        <scheme val="minor"/>
      </rPr>
      <t>, Ziel 7%), also als Trend nutzbar, aber mit Datenlücke 2022; „Mitarbeiterbindung/Schulungen“ sind teils unvollständig und sollten fürs IM nur nach Cleanup verwendet werden.</t>
    </r>
  </si>
  <si>
    <r>
      <t>Sicherheit (Flotte und TAPA):</t>
    </r>
    <r>
      <rPr>
        <sz val="11"/>
        <color theme="1"/>
        <rFont val="Aptos Narrow"/>
        <family val="2"/>
        <scheme val="minor"/>
      </rPr>
      <t xml:space="preserve"> Bei </t>
    </r>
    <r>
      <rPr>
        <b/>
        <sz val="11"/>
        <color theme="1"/>
        <rFont val="Aptos Narrow"/>
        <family val="2"/>
        <scheme val="minor"/>
      </rPr>
      <t>Bußgeldern</t>
    </r>
    <r>
      <rPr>
        <sz val="11"/>
        <color theme="1"/>
        <rFont val="Aptos Narrow"/>
        <family val="2"/>
        <scheme val="minor"/>
      </rPr>
      <t xml:space="preserve"> ist die Logik in den Summenfeldern inkonsistent, aber auf „pro Monat“ gerechnet liegt die Entwicklung klar positiv: ca. </t>
    </r>
    <r>
      <rPr>
        <b/>
        <sz val="11"/>
        <color theme="1"/>
        <rFont val="Aptos Narrow"/>
        <family val="2"/>
        <scheme val="minor"/>
      </rPr>
      <t>10,9/Monat (2022) → 12,1 (2023) → 9,75 (2024)</t>
    </r>
    <r>
      <rPr>
        <sz val="11"/>
        <color theme="1"/>
        <rFont val="Aptos Narrow"/>
        <family val="2"/>
        <scheme val="minor"/>
      </rPr>
      <t xml:space="preserve"> bei Ziel </t>
    </r>
    <r>
      <rPr>
        <b/>
        <sz val="11"/>
        <color theme="1"/>
        <rFont val="Aptos Narrow"/>
        <family val="2"/>
        <scheme val="minor"/>
      </rPr>
      <t>&lt;13/Monat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Unfallquote</t>
    </r>
    <r>
      <rPr>
        <sz val="11"/>
        <color theme="1"/>
        <rFont val="Aptos Narrow"/>
        <family val="2"/>
        <scheme val="minor"/>
      </rPr>
      <t xml:space="preserve"> ist sehr niedrig und weiter fallend (ca. </t>
    </r>
    <r>
      <rPr>
        <b/>
        <sz val="11"/>
        <color theme="1"/>
        <rFont val="Aptos Narrow"/>
        <family val="2"/>
        <scheme val="minor"/>
      </rPr>
      <t>0,21% → 0,07% → 0,01%</t>
    </r>
    <r>
      <rPr>
        <sz val="11"/>
        <color theme="1"/>
        <rFont val="Aptos Narrow"/>
        <family val="2"/>
        <scheme val="minor"/>
      </rPr>
      <t xml:space="preserve">); Diebstahl/unerlaubter Zutritt/illegale Mitfahrt sind überwiegend </t>
    </r>
    <r>
      <rPr>
        <b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 xml:space="preserve"> (IM-formulierung besser als „keine gemeldeten Vorfälle“).</t>
    </r>
  </si>
  <si>
    <r>
      <t>Operativ:</t>
    </r>
    <r>
      <rPr>
        <sz val="11"/>
        <color theme="1"/>
        <rFont val="Aptos Narrow"/>
        <family val="2"/>
        <scheme val="minor"/>
      </rPr>
      <t xml:space="preserve"> Der stärkste „Equity Story“-Treiber ist </t>
    </r>
    <r>
      <rPr>
        <b/>
        <sz val="11"/>
        <color theme="1"/>
        <rFont val="Aptos Narrow"/>
        <family val="2"/>
        <scheme val="minor"/>
      </rPr>
      <t>Leer-km/Voll-km</t>
    </r>
    <r>
      <rPr>
        <sz val="11"/>
        <color theme="1"/>
        <rFont val="Aptos Narrow"/>
        <family val="2"/>
        <scheme val="minor"/>
      </rPr>
      <t xml:space="preserve">: Ø </t>
    </r>
    <r>
      <rPr>
        <b/>
        <sz val="11"/>
        <color theme="1"/>
        <rFont val="Aptos Narrow"/>
        <family val="2"/>
        <scheme val="minor"/>
      </rPr>
      <t>9,91% (2022) → 11,74% (2023) → 4,13% (2024)</t>
    </r>
    <r>
      <rPr>
        <sz val="11"/>
        <color theme="1"/>
        <rFont val="Aptos Narrow"/>
        <family val="2"/>
        <scheme val="minor"/>
      </rPr>
      <t xml:space="preserve"> bei Ziel </t>
    </r>
    <r>
      <rPr>
        <b/>
        <sz val="11"/>
        <color theme="1"/>
        <rFont val="Aptos Narrow"/>
        <family val="2"/>
        <scheme val="minor"/>
      </rPr>
      <t>&lt;10%</t>
    </r>
    <r>
      <rPr>
        <sz val="11"/>
        <color theme="1"/>
        <rFont val="Aptos Narrow"/>
        <family val="2"/>
        <scheme val="minor"/>
      </rPr>
      <t xml:space="preserve"> – das ist ein klarer Effizienzsprung 2024 (Kosten-/Auslastungslogik, potenziell auch ESG).</t>
    </r>
  </si>
  <si>
    <r>
      <t>Vertrieb:</t>
    </r>
    <r>
      <rPr>
        <sz val="11"/>
        <color theme="1"/>
        <rFont val="Aptos Narrow"/>
        <family val="2"/>
        <scheme val="minor"/>
      </rPr>
      <t xml:space="preserve"> Frequenz ist noch „im Rahmen“, aber negativ im Trend: </t>
    </r>
    <r>
      <rPr>
        <b/>
        <sz val="11"/>
        <color theme="1"/>
        <rFont val="Aptos Narrow"/>
        <family val="2"/>
        <scheme val="minor"/>
      </rPr>
      <t>Reklamationen 4 → 8 → 9</t>
    </r>
    <r>
      <rPr>
        <sz val="11"/>
        <color theme="1"/>
        <rFont val="Aptos Narrow"/>
        <family val="2"/>
        <scheme val="minor"/>
      </rPr>
      <t xml:space="preserve"> (Ziel max. 10). Der </t>
    </r>
    <r>
      <rPr>
        <b/>
        <sz val="11"/>
        <color theme="1"/>
        <rFont val="Aptos Narrow"/>
        <family val="2"/>
        <scheme val="minor"/>
      </rPr>
      <t>Wert der Reklamationen (Lei)</t>
    </r>
    <r>
      <rPr>
        <sz val="11"/>
        <color theme="1"/>
        <rFont val="Aptos Narrow"/>
        <family val="2"/>
        <scheme val="minor"/>
      </rPr>
      <t xml:space="preserve"> ist das große IM-Risiko: </t>
    </r>
    <r>
      <rPr>
        <b/>
        <sz val="11"/>
        <color theme="1"/>
        <rFont val="Aptos Narrow"/>
        <family val="2"/>
        <scheme val="minor"/>
      </rPr>
      <t>~30k (2022) → ~75k (2023) → ~1,12m (2024)</t>
    </r>
    <r>
      <rPr>
        <sz val="11"/>
        <color theme="1"/>
        <rFont val="Aptos Narrow"/>
        <family val="2"/>
        <scheme val="minor"/>
      </rPr>
      <t xml:space="preserve"> vs Ziel </t>
    </r>
    <r>
      <rPr>
        <b/>
        <sz val="11"/>
        <color theme="1"/>
        <rFont val="Aptos Narrow"/>
        <family val="2"/>
        <scheme val="minor"/>
      </rPr>
      <t>100k</t>
    </r>
    <r>
      <rPr>
        <sz val="11"/>
        <color theme="1"/>
        <rFont val="Aptos Narrow"/>
        <family val="2"/>
        <scheme val="minor"/>
      </rPr>
      <t xml:space="preserve"> – das schreit nach Root Cause (Einzelschaden vs. strukturell) + Mitigants. Kundenzufriedenheit ist nur bis 2022 gepflegt, 2023/2024 fehlen.</t>
    </r>
  </si>
  <si>
    <r>
      <t>Service:</t>
    </r>
    <r>
      <rPr>
        <sz val="11"/>
        <color theme="1"/>
        <rFont val="Aptos Narrow"/>
        <family val="2"/>
        <scheme val="minor"/>
      </rPr>
      <t xml:space="preserve"> Wartungsdisziplin ist 2024 plausibel und IM-tauglich (</t>
    </r>
    <r>
      <rPr>
        <b/>
        <sz val="11"/>
        <color theme="1"/>
        <rFont val="Aptos Narrow"/>
        <family val="2"/>
        <scheme val="minor"/>
      </rPr>
      <t>Überfällige Wartungen ~4,1%</t>
    </r>
    <r>
      <rPr>
        <sz val="11"/>
        <color theme="1"/>
        <rFont val="Aptos Narrow"/>
        <family val="2"/>
        <scheme val="minor"/>
      </rPr>
      <t xml:space="preserve"> bei Ziel &lt;5%), 2022/2023 stehen teils auf 0 (wirkt wie „nicht gepflegt“). Bei </t>
    </r>
    <r>
      <rPr>
        <b/>
        <sz val="11"/>
        <color theme="1"/>
        <rFont val="Aptos Narrow"/>
        <family val="2"/>
        <scheme val="minor"/>
      </rPr>
      <t>Teile-Retouren</t>
    </r>
    <r>
      <rPr>
        <sz val="11"/>
        <color theme="1"/>
        <rFont val="Aptos Narrow"/>
        <family val="2"/>
        <scheme val="minor"/>
      </rPr>
      <t xml:space="preserve"> gibt es einen Widerspruch: Monats-/YTD-Block zeigt 2023 sehr hoch und 2024 0, während die Zähler/Nenner-Logik über Bestellungen eher </t>
    </r>
    <r>
      <rPr>
        <b/>
        <sz val="11"/>
        <color theme="1"/>
        <rFont val="Aptos Narrow"/>
        <family val="2"/>
        <scheme val="minor"/>
      </rPr>
      <t>~0,65% (2022) → 0,25% (2023) → 0,35% (2024)</t>
    </r>
    <r>
      <rPr>
        <sz val="11"/>
        <color theme="1"/>
        <rFont val="Aptos Narrow"/>
        <family val="2"/>
        <scheme val="minor"/>
      </rPr>
      <t xml:space="preserve"> ergibt – fürs IM würde ich nur die Zähler/Nenner-Quote nutzen und den Rest als Datenqualitäts-Thema kennzeichnen.</t>
    </r>
  </si>
  <si>
    <r>
      <t>Lager:</t>
    </r>
    <r>
      <rPr>
        <sz val="11"/>
        <color theme="1"/>
        <rFont val="Aptos Narrow"/>
        <family val="2"/>
        <scheme val="minor"/>
      </rPr>
      <t xml:space="preserve"> Praktisch alles ist </t>
    </r>
    <r>
      <rPr>
        <b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 xml:space="preserve"> (inkl. Ziele) – ohne Prozess-/Reporting-Nachweis ist das fürs IM nicht belastbar; maximal als „keine gemeldeten Vorfälle“ mit Data-Coverage-Hinweis.</t>
    </r>
  </si>
  <si>
    <r>
      <t>Umwelt: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Umweltvorfälle</t>
    </r>
    <r>
      <rPr>
        <sz val="11"/>
        <color theme="1"/>
        <rFont val="Aptos Narrow"/>
        <family val="2"/>
        <scheme val="minor"/>
      </rPr>
      <t xml:space="preserve"> und </t>
    </r>
    <r>
      <rPr>
        <b/>
        <sz val="11"/>
        <color theme="1"/>
        <rFont val="Aptos Narrow"/>
        <family val="2"/>
        <scheme val="minor"/>
      </rPr>
      <t>ADR-Unfälle</t>
    </r>
    <r>
      <rPr>
        <sz val="11"/>
        <color theme="1"/>
        <rFont val="Aptos Narrow"/>
        <family val="2"/>
        <scheme val="minor"/>
      </rPr>
      <t xml:space="preserve"> sind durchgehend </t>
    </r>
    <r>
      <rPr>
        <b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; zusätzlich gibt es dokumentierte Analysen mit Status „OK“/Grenzwert-Vergleich. IM-tauglich als ESG-/Compliance-Signal, aber auch hier gilt: Nullserien sauber als „keine gemeldeten Vorfälle“ formulieren.</t>
    </r>
  </si>
  <si>
    <r>
      <t>Arbeitsschutz: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Arbeitsunfälle/leichte Unfälle</t>
    </r>
    <r>
      <rPr>
        <sz val="11"/>
        <color theme="1"/>
        <rFont val="Aptos Narrow"/>
        <family val="2"/>
        <scheme val="minor"/>
      </rPr>
      <t xml:space="preserve"> sind überall </t>
    </r>
    <r>
      <rPr>
        <b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 xml:space="preserve">; es gibt Schulungs-Quoten je Standort/Block (dort wo vollständig sichtbar: </t>
    </r>
    <r>
      <rPr>
        <b/>
        <sz val="11"/>
        <color theme="1"/>
        <rFont val="Aptos Narrow"/>
        <family val="2"/>
        <scheme val="minor"/>
      </rPr>
      <t>2022 ~87,5% → 2023 ~93% → 2024 ~100%</t>
    </r>
    <r>
      <rPr>
        <sz val="11"/>
        <color theme="1"/>
        <rFont val="Aptos Narrow"/>
        <family val="2"/>
        <scheme val="minor"/>
      </rPr>
      <t>, Ziel 100%). Messwerte (z.B. Lärm/CO) liegen unter Grenzwerten – gut für Compliance-Story.</t>
    </r>
  </si>
  <si>
    <r>
      <t>Sonstiges:</t>
    </r>
    <r>
      <rPr>
        <sz val="11"/>
        <color theme="1"/>
        <rFont val="Aptos Narrow"/>
        <family val="2"/>
        <scheme val="minor"/>
      </rPr>
      <t xml:space="preserve"> Das ist dein Governance-/Managementsystem-Reiter mit den IM-relevantesten „Process &amp; Control“-Risiken: </t>
    </r>
    <r>
      <rPr>
        <b/>
        <sz val="11"/>
        <color theme="1"/>
        <rFont val="Aptos Narrow"/>
        <family val="2"/>
        <scheme val="minor"/>
      </rPr>
      <t>fristgerechte Umsetzung Maßnahmen aus Managementbewertung</t>
    </r>
    <r>
      <rPr>
        <sz val="11"/>
        <color theme="1"/>
        <rFont val="Aptos Narrow"/>
        <family val="2"/>
        <scheme val="minor"/>
      </rPr>
      <t xml:space="preserve"> liegt in der 2022–2024-Logik bei </t>
    </r>
    <r>
      <rPr>
        <b/>
        <sz val="11"/>
        <color theme="1"/>
        <rFont val="Aptos Narrow"/>
        <family val="2"/>
        <scheme val="minor"/>
      </rPr>
      <t>~67% (2022) → 85% (2023) → 78% (2024)</t>
    </r>
    <r>
      <rPr>
        <sz val="11"/>
        <color theme="1"/>
        <rFont val="Aptos Narrow"/>
        <family val="2"/>
        <scheme val="minor"/>
      </rPr>
      <t xml:space="preserve"> und damit unter Ziel </t>
    </r>
    <r>
      <rPr>
        <b/>
        <sz val="11"/>
        <color theme="1"/>
        <rFont val="Aptos Narrow"/>
        <family val="2"/>
        <scheme val="minor"/>
      </rPr>
      <t>90%</t>
    </r>
    <r>
      <rPr>
        <sz val="11"/>
        <color theme="1"/>
        <rFont val="Aptos Narrow"/>
        <family val="2"/>
        <scheme val="minor"/>
      </rPr>
      <t xml:space="preserve">. Der </t>
    </r>
    <r>
      <rPr>
        <b/>
        <sz val="11"/>
        <color theme="1"/>
        <rFont val="Aptos Narrow"/>
        <family val="2"/>
        <scheme val="minor"/>
      </rPr>
      <t>Erfüllungsgrad der Ziele aus dem Managementprogramm</t>
    </r>
    <r>
      <rPr>
        <sz val="11"/>
        <color theme="1"/>
        <rFont val="Aptos Narrow"/>
        <family val="2"/>
        <scheme val="minor"/>
      </rPr>
      <t xml:space="preserve"> fällt </t>
    </r>
    <r>
      <rPr>
        <b/>
        <sz val="11"/>
        <color theme="1"/>
        <rFont val="Aptos Narrow"/>
        <family val="2"/>
        <scheme val="minor"/>
      </rPr>
      <t>~94% (2022) → 77% (2023) → 80% (2024)</t>
    </r>
    <r>
      <rPr>
        <sz val="11"/>
        <color theme="1"/>
        <rFont val="Aptos Narrow"/>
        <family val="2"/>
        <scheme val="minor"/>
      </rPr>
      <t xml:space="preserve"> (Ziel 90%). Kritisch: </t>
    </r>
    <r>
      <rPr>
        <b/>
        <sz val="11"/>
        <color theme="1"/>
        <rFont val="Aptos Narrow"/>
        <family val="2"/>
        <scheme val="minor"/>
      </rPr>
      <t>Gefährliche Stoffe ohne aktualisierte FDS</t>
    </r>
    <r>
      <rPr>
        <sz val="11"/>
        <color theme="1"/>
        <rFont val="Aptos Narrow"/>
        <family val="2"/>
        <scheme val="minor"/>
      </rPr>
      <t xml:space="preserve"> steigt bis </t>
    </r>
    <r>
      <rPr>
        <b/>
        <sz val="11"/>
        <color theme="1"/>
        <rFont val="Aptos Narrow"/>
        <family val="2"/>
        <scheme val="minor"/>
      </rPr>
      <t>7 (2024)</t>
    </r>
    <r>
      <rPr>
        <sz val="11"/>
        <color theme="1"/>
        <rFont val="Aptos Narrow"/>
        <family val="2"/>
        <scheme val="minor"/>
      </rPr>
      <t xml:space="preserve"> bei Ziel </t>
    </r>
    <r>
      <rPr>
        <b/>
        <sz val="11"/>
        <color theme="1"/>
        <rFont val="Aptos Narrow"/>
        <family val="2"/>
        <scheme val="minor"/>
      </rPr>
      <t>&lt;1</t>
    </r>
    <r>
      <rPr>
        <sz val="11"/>
        <color theme="1"/>
        <rFont val="Aptos Narrow"/>
        <family val="2"/>
        <scheme val="minor"/>
      </rPr>
      <t xml:space="preserve"> (echtes Compliance-Risiko). </t>
    </r>
    <r>
      <rPr>
        <b/>
        <sz val="11"/>
        <color theme="1"/>
        <rFont val="Aptos Narrow"/>
        <family val="2"/>
        <scheme val="minor"/>
      </rPr>
      <t>Vorbeugende Wartung</t>
    </r>
    <r>
      <rPr>
        <sz val="11"/>
        <color theme="1"/>
        <rFont val="Aptos Narrow"/>
        <family val="2"/>
        <scheme val="minor"/>
      </rPr>
      <t xml:space="preserve"> liegt 2024 bei </t>
    </r>
    <r>
      <rPr>
        <b/>
        <sz val="11"/>
        <color theme="1"/>
        <rFont val="Aptos Narrow"/>
        <family val="2"/>
        <scheme val="minor"/>
      </rPr>
      <t>~96%</t>
    </r>
    <r>
      <rPr>
        <sz val="11"/>
        <color theme="1"/>
        <rFont val="Aptos Narrow"/>
        <family val="2"/>
        <scheme val="minor"/>
      </rPr>
      <t xml:space="preserve"> vs Ziel 100% (kleiner, aber erwähnenswerter Gap), </t>
    </r>
    <r>
      <rPr>
        <b/>
        <sz val="11"/>
        <color theme="1"/>
        <rFont val="Aptos Narrow"/>
        <family val="2"/>
        <scheme val="minor"/>
      </rPr>
      <t>GDPR-Bußgelder</t>
    </r>
    <r>
      <rPr>
        <sz val="11"/>
        <color theme="1"/>
        <rFont val="Aptos Narrow"/>
        <family val="2"/>
        <scheme val="minor"/>
      </rPr>
      <t xml:space="preserve"> sind 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</si>
</sst>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000%"/>
    <numFmt numFmtId="166" formatCode="_-* #,##0\ [$lei-418]_-;\-* #,##0\ [$lei-418]_-;_-* &quot;-&quot;??\ [$lei-418]_-;_-@_-"/>
    <numFmt numFmtId="167" formatCode="_-* #,##0.00\ _l_e_i_-;\-* #,##0.00\ _l_e_i_-;_-* &quot;-&quot;??\ _l_e_i_-;_-@_-"/>
    <numFmt numFmtId="168" formatCode="0.000"/>
    <numFmt numFmtId="169" formatCode="0.000%"/>
  </numFmts>
  <fonts count="8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4"/>
      <color theme="1"/>
      <name val="Aptos Narrow"/>
      <family val="2"/>
      <charset val="238"/>
      <scheme val="minor"/>
    </font>
    <font>
      <sz val="14"/>
      <color theme="1"/>
      <name val="Aptos Narrow"/>
      <family val="2"/>
      <scheme val="minor"/>
    </font>
    <font>
      <b/>
      <sz val="11"/>
      <color rgb="FFFA7D00"/>
      <name val="Aptos Narrow"/>
      <family val="2"/>
      <charset val="238"/>
      <scheme val="minor"/>
    </font>
    <font>
      <sz val="14"/>
      <color rgb="FF0070C0"/>
      <name val="Aptos Narrow"/>
      <family val="2"/>
      <scheme val="minor"/>
    </font>
    <font>
      <sz val="11"/>
      <color rgb="FF006100"/>
      <name val="Aptos Narrow"/>
      <family val="2"/>
      <charset val="238"/>
      <scheme val="minor"/>
    </font>
    <font>
      <b/>
      <sz val="14"/>
      <color rgb="FF006100"/>
      <name val="Aptos Narrow"/>
      <family val="2"/>
      <charset val="238"/>
      <scheme val="minor"/>
    </font>
    <font>
      <b/>
      <sz val="12"/>
      <color theme="1"/>
      <name val="Arial"/>
      <family val="2"/>
    </font>
    <font>
      <b/>
      <sz val="12"/>
      <color theme="1"/>
      <name val="Aptos Narrow"/>
      <family val="2"/>
      <charset val="238"/>
      <scheme val="minor"/>
    </font>
    <font>
      <b/>
      <sz val="12"/>
      <color theme="9" tint="-0.249977111117893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6"/>
      <color theme="1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b/>
      <sz val="12"/>
      <color rgb="FF0070C0"/>
      <name val="Aptos Narrow"/>
      <family val="2"/>
      <charset val="238"/>
      <scheme val="minor"/>
    </font>
    <font>
      <b/>
      <sz val="14"/>
      <color rgb="FF006100"/>
      <name val="Aptos Narrow"/>
      <family val="2"/>
      <scheme val="minor"/>
    </font>
    <font>
      <b/>
      <sz val="12"/>
      <color theme="1"/>
      <name val="Arial"/>
      <family val="2"/>
      <charset val="238"/>
    </font>
    <font>
      <b/>
      <sz val="14"/>
      <color rgb="FF00B050"/>
      <name val="Aptos Narrow"/>
      <family val="2"/>
      <charset val="238"/>
      <scheme val="minor"/>
    </font>
    <font>
      <b/>
      <sz val="12"/>
      <color rgb="FF00B05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70C0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4"/>
      <color theme="4" tint="-0.249977111117893"/>
      <name val="Aptos Narrow"/>
      <family val="2"/>
      <scheme val="minor"/>
    </font>
    <font>
      <b/>
      <sz val="20"/>
      <color rgb="FF00B050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14"/>
      <name val="Aptos Narrow"/>
      <family val="2"/>
      <charset val="238"/>
      <scheme val="minor"/>
    </font>
    <font>
      <sz val="20"/>
      <color rgb="FF00B050"/>
      <name val="Aptos Narrow"/>
      <family val="2"/>
      <scheme val="minor"/>
    </font>
    <font>
      <sz val="11"/>
      <color rgb="FF9C5700"/>
      <name val="Aptos Narrow"/>
      <family val="2"/>
      <charset val="238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charset val="238"/>
      <scheme val="minor"/>
    </font>
    <font>
      <sz val="12"/>
      <color rgb="FFFF0000"/>
      <name val="Aptos Narrow"/>
      <family val="2"/>
      <scheme val="minor"/>
    </font>
    <font>
      <sz val="12"/>
      <color rgb="FF006100"/>
      <name val="Aptos Narrow"/>
      <family val="2"/>
      <charset val="238"/>
      <scheme val="minor"/>
    </font>
    <font>
      <sz val="12"/>
      <color theme="1"/>
      <name val="Arial"/>
      <family val="2"/>
    </font>
    <font>
      <b/>
      <sz val="12"/>
      <color rgb="FF0070C0"/>
      <name val="Aptos Narrow"/>
      <family val="2"/>
      <scheme val="minor"/>
    </font>
    <font>
      <b/>
      <sz val="12"/>
      <color theme="4" tint="-0.249977111117893"/>
      <name val="Aptos Narrow"/>
      <family val="2"/>
      <charset val="238"/>
      <scheme val="minor"/>
    </font>
    <font>
      <b/>
      <sz val="12"/>
      <color rgb="FF7030A0"/>
      <name val="Aptos Narrow"/>
      <family val="2"/>
      <scheme val="minor"/>
    </font>
    <font>
      <b/>
      <sz val="12"/>
      <color rgb="FFEC7A2C"/>
      <name val="Aptos Narrow"/>
      <family val="2"/>
      <charset val="238"/>
      <scheme val="minor"/>
    </font>
    <font>
      <sz val="12"/>
      <name val="Aptos Narrow"/>
      <family val="2"/>
      <scheme val="minor"/>
    </font>
    <font>
      <b/>
      <sz val="12"/>
      <color rgb="FFFA7D00"/>
      <name val="Aptos Narrow"/>
      <family val="2"/>
      <charset val="238"/>
      <scheme val="minor"/>
    </font>
    <font>
      <b/>
      <sz val="12"/>
      <color theme="5"/>
      <name val="Aptos Narrow"/>
      <family val="2"/>
      <charset val="238"/>
      <scheme val="minor"/>
    </font>
    <font>
      <b/>
      <sz val="12"/>
      <color rgb="FF006100"/>
      <name val="Aptos Narrow"/>
      <family val="2"/>
      <charset val="238"/>
      <scheme val="minor"/>
    </font>
    <font>
      <b/>
      <sz val="12"/>
      <color rgb="FF7030A0"/>
      <name val="Aptos Narrow"/>
      <family val="2"/>
      <charset val="238"/>
      <scheme val="minor"/>
    </font>
    <font>
      <b/>
      <sz val="12"/>
      <color theme="4" tint="-0.249977111117893"/>
      <name val="Calibri"/>
      <family val="2"/>
      <charset val="238"/>
    </font>
    <font>
      <b/>
      <sz val="12"/>
      <color theme="9" tint="-0.499984740745262"/>
      <name val="Aptos Narrow"/>
      <family val="2"/>
      <charset val="238"/>
      <scheme val="minor"/>
    </font>
    <font>
      <sz val="12"/>
      <color rgb="FF7030A0"/>
      <name val="Aptos Narrow"/>
      <family val="2"/>
      <scheme val="minor"/>
    </font>
    <font>
      <sz val="12"/>
      <color theme="1"/>
      <name val="Arial"/>
      <family val="2"/>
      <charset val="238"/>
    </font>
    <font>
      <b/>
      <sz val="12"/>
      <color rgb="FF9C0006"/>
      <name val="Arial"/>
      <family val="2"/>
      <charset val="238"/>
    </font>
    <font>
      <b/>
      <sz val="12"/>
      <color rgb="FFFF0000"/>
      <name val="Aptos Narrow"/>
      <family val="2"/>
      <scheme val="minor"/>
    </font>
    <font>
      <b/>
      <sz val="12"/>
      <color rgb="FF0070C0"/>
      <name val="Arial"/>
      <family val="2"/>
      <charset val="238"/>
    </font>
    <font>
      <b/>
      <sz val="12"/>
      <color rgb="FF7030A0"/>
      <name val="Arial"/>
      <family val="2"/>
      <charset val="238"/>
    </font>
    <font>
      <b/>
      <sz val="12"/>
      <color theme="9" tint="-0.249977111117893"/>
      <name val="Arial"/>
      <family val="2"/>
      <charset val="238"/>
    </font>
    <font>
      <b/>
      <sz val="12"/>
      <color rgb="FF006100"/>
      <name val="Arial"/>
      <family val="2"/>
      <charset val="238"/>
    </font>
    <font>
      <sz val="12"/>
      <color rgb="FF9C5700"/>
      <name val="Aptos Narrow"/>
      <family val="2"/>
      <charset val="238"/>
      <scheme val="minor"/>
    </font>
    <font>
      <b/>
      <sz val="12"/>
      <name val="Aptos Narrow"/>
      <family val="2"/>
      <charset val="238"/>
      <scheme val="minor"/>
    </font>
    <font>
      <b/>
      <sz val="12"/>
      <color rgb="FF00B050"/>
      <name val="Aptos Narrow"/>
      <family val="2"/>
      <charset val="238"/>
      <scheme val="minor"/>
    </font>
    <font>
      <b/>
      <sz val="12"/>
      <name val="Arial"/>
      <family val="2"/>
      <charset val="238"/>
    </font>
    <font>
      <sz val="12"/>
      <name val="Arial"/>
      <family val="2"/>
    </font>
    <font>
      <sz val="12"/>
      <color rgb="FFEC7A2C"/>
      <name val="Aptos Narrow"/>
      <family val="2"/>
      <charset val="238"/>
      <scheme val="minor"/>
    </font>
    <font>
      <b/>
      <sz val="12"/>
      <color rgb="FFC00000"/>
      <name val="Aptos Narrow"/>
      <family val="2"/>
      <scheme val="minor"/>
    </font>
    <font>
      <b/>
      <sz val="12"/>
      <color rgb="FFFF0000"/>
      <name val="Aptos Narrow"/>
      <family val="2"/>
      <charset val="238"/>
      <scheme val="minor"/>
    </font>
    <font>
      <sz val="12"/>
      <color rgb="FF006100"/>
      <name val="Aptos Narrow"/>
      <family val="2"/>
      <scheme val="minor"/>
    </font>
    <font>
      <b/>
      <sz val="12"/>
      <color theme="9" tint="-0.499984740745262"/>
      <name val="Aptos Narrow"/>
      <family val="2"/>
      <scheme val="minor"/>
    </font>
    <font>
      <b/>
      <sz val="12"/>
      <color rgb="FF0061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5"/>
      <name val="Aptos Narrow"/>
      <family val="2"/>
      <scheme val="minor"/>
    </font>
    <font>
      <b/>
      <sz val="12"/>
      <color theme="9" tint="-0.499984740745262"/>
      <name val="Calibri"/>
      <family val="2"/>
      <charset val="238"/>
    </font>
    <font>
      <sz val="14"/>
      <color rgb="FF00B050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2"/>
      <color theme="9" tint="-0.499984740745262"/>
      <name val="Aptos Narrow"/>
      <family val="2"/>
      <scheme val="minor"/>
    </font>
    <font>
      <b/>
      <sz val="12"/>
      <color theme="4" tint="-0.249977111117893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EF904F"/>
      <name val="Aptos Narrow"/>
      <family val="2"/>
      <charset val="238"/>
      <scheme val="minor"/>
    </font>
    <font>
      <b/>
      <sz val="12"/>
      <color theme="9" tint="-0.249977111117893"/>
      <name val="Abadi"/>
      <family val="2"/>
    </font>
    <font>
      <b/>
      <sz val="12"/>
      <color rgb="FFFA7D00"/>
      <name val="Abadi"/>
      <family val="2"/>
    </font>
    <font>
      <b/>
      <sz val="12"/>
      <color rgb="FFEF904F"/>
      <name val="Abadi"/>
      <family val="2"/>
    </font>
    <font>
      <b/>
      <sz val="12"/>
      <color theme="9" tint="-0.249977111117893"/>
      <name val="Aptos Narrow"/>
      <family val="2"/>
      <scheme val="minor"/>
    </font>
    <font>
      <sz val="12"/>
      <name val="Aptos Narrow"/>
      <family val="2"/>
      <charset val="238"/>
      <scheme val="minor"/>
    </font>
    <font>
      <sz val="12"/>
      <color rgb="FFFF0000"/>
      <name val="Aptos Narrow"/>
      <family val="2"/>
      <charset val="238"/>
      <scheme val="minor"/>
    </font>
    <font>
      <sz val="12"/>
      <color rgb="FF7030A0"/>
      <name val="Abadi"/>
      <family val="2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/>
      <right style="thin">
        <color rgb="FF7F7F7F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5" borderId="1" applyNumberFormat="0" applyAlignment="0" applyProtection="0"/>
    <xf numFmtId="0" fontId="13" fillId="6" borderId="0"/>
    <xf numFmtId="0" fontId="8" fillId="2" borderId="0"/>
    <xf numFmtId="0" fontId="15" fillId="3" borderId="0"/>
    <xf numFmtId="0" fontId="6" fillId="5" borderId="1"/>
    <xf numFmtId="9" fontId="1" fillId="0" borderId="0"/>
    <xf numFmtId="0" fontId="30" fillId="4" borderId="0"/>
    <xf numFmtId="167" fontId="1" fillId="0" borderId="0"/>
  </cellStyleXfs>
  <cellXfs count="499">
    <xf numFmtId="0" fontId="0" fillId="0" borderId="0" xfId="0"/>
    <xf numFmtId="0" fontId="10" fillId="7" borderId="0" xfId="0" applyFont="1" applyFill="1" applyAlignment="1">
      <alignment vertical="center"/>
    </xf>
    <xf numFmtId="49" fontId="11" fillId="7" borderId="3" xfId="0" applyNumberFormat="1" applyFont="1" applyFill="1" applyBorder="1" applyAlignment="1">
      <alignment horizontal="center" vertical="center" wrapText="1"/>
    </xf>
    <xf numFmtId="49" fontId="12" fillId="7" borderId="3" xfId="0" applyNumberFormat="1" applyFont="1" applyFill="1" applyBorder="1" applyAlignment="1">
      <alignment horizontal="center" vertical="center" wrapText="1"/>
    </xf>
    <xf numFmtId="0" fontId="14" fillId="0" borderId="0" xfId="4" applyFont="1" applyFill="1" applyAlignment="1">
      <alignment horizontal="center" vertical="center"/>
    </xf>
    <xf numFmtId="0" fontId="5" fillId="0" borderId="0" xfId="0" applyFont="1"/>
    <xf numFmtId="0" fontId="16" fillId="0" borderId="5" xfId="5" applyFont="1" applyFill="1" applyBorder="1" applyAlignment="1" applyProtection="1">
      <alignment horizontal="center" vertical="center"/>
      <protection locked="0"/>
    </xf>
    <xf numFmtId="17" fontId="11" fillId="7" borderId="17" xfId="0" applyNumberFormat="1" applyFont="1" applyFill="1" applyBorder="1" applyAlignment="1">
      <alignment horizontal="center" vertical="center" wrapText="1"/>
    </xf>
    <xf numFmtId="17" fontId="11" fillId="7" borderId="3" xfId="0" applyNumberFormat="1" applyFont="1" applyFill="1" applyBorder="1" applyAlignment="1">
      <alignment horizontal="center" vertical="center" wrapText="1"/>
    </xf>
    <xf numFmtId="49" fontId="16" fillId="7" borderId="3" xfId="0" applyNumberFormat="1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8" fillId="0" borderId="0" xfId="5" applyFill="1" applyAlignment="1">
      <alignment horizontal="center" vertical="center" wrapText="1"/>
    </xf>
    <xf numFmtId="0" fontId="25" fillId="0" borderId="0" xfId="7" applyFont="1" applyFill="1" applyBorder="1" applyAlignment="1">
      <alignment horizontal="center" vertical="center"/>
    </xf>
    <xf numFmtId="0" fontId="17" fillId="0" borderId="0" xfId="5" applyFont="1" applyFill="1" applyAlignment="1">
      <alignment horizontal="center" vertical="center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 wrapText="1"/>
    </xf>
    <xf numFmtId="0" fontId="33" fillId="0" borderId="0" xfId="4" applyFont="1" applyFill="1" applyAlignment="1">
      <alignment vertical="center"/>
    </xf>
    <xf numFmtId="0" fontId="33" fillId="0" borderId="0" xfId="0" applyFont="1"/>
    <xf numFmtId="0" fontId="32" fillId="0" borderId="0" xfId="4" applyFont="1" applyFill="1" applyAlignment="1">
      <alignment horizontal="center" vertical="center"/>
    </xf>
    <xf numFmtId="0" fontId="22" fillId="7" borderId="0" xfId="0" applyFont="1" applyFill="1"/>
    <xf numFmtId="0" fontId="22" fillId="7" borderId="0" xfId="0" applyFont="1" applyFill="1" applyProtection="1">
      <protection locked="0"/>
    </xf>
    <xf numFmtId="49" fontId="22" fillId="7" borderId="3" xfId="0" applyNumberFormat="1" applyFont="1" applyFill="1" applyBorder="1" applyAlignment="1">
      <alignment horizontal="center" vertical="center" wrapText="1"/>
    </xf>
    <xf numFmtId="49" fontId="34" fillId="2" borderId="3" xfId="5" applyNumberFormat="1" applyFont="1" applyBorder="1" applyAlignment="1">
      <alignment horizontal="center" vertical="center" wrapText="1"/>
    </xf>
    <xf numFmtId="49" fontId="22" fillId="7" borderId="12" xfId="0" applyNumberFormat="1" applyFont="1" applyFill="1" applyBorder="1" applyAlignment="1">
      <alignment horizontal="center" vertical="center" wrapText="1"/>
    </xf>
    <xf numFmtId="0" fontId="35" fillId="8" borderId="0" xfId="0" applyFont="1" applyFill="1" applyAlignment="1">
      <alignment horizontal="left" vertical="center" wrapText="1"/>
    </xf>
    <xf numFmtId="0" fontId="16" fillId="5" borderId="6" xfId="7" applyFont="1" applyBorder="1" applyAlignment="1">
      <alignment horizontal="center" vertical="center"/>
    </xf>
    <xf numFmtId="0" fontId="37" fillId="2" borderId="6" xfId="5" quotePrefix="1" applyFont="1" applyBorder="1" applyAlignment="1">
      <alignment horizontal="center" vertical="center" wrapText="1"/>
    </xf>
    <xf numFmtId="0" fontId="38" fillId="0" borderId="5" xfId="5" applyFont="1" applyFill="1" applyBorder="1" applyAlignment="1" applyProtection="1">
      <alignment horizontal="center" vertical="center"/>
      <protection locked="0"/>
    </xf>
    <xf numFmtId="0" fontId="38" fillId="0" borderId="5" xfId="6" applyFont="1" applyFill="1" applyBorder="1" applyAlignment="1" applyProtection="1">
      <alignment horizontal="center" vertical="center"/>
      <protection locked="0"/>
    </xf>
    <xf numFmtId="0" fontId="38" fillId="0" borderId="8" xfId="5" applyFont="1" applyFill="1" applyBorder="1" applyAlignment="1" applyProtection="1">
      <alignment horizontal="center" vertical="center"/>
      <protection locked="0"/>
    </xf>
    <xf numFmtId="2" fontId="39" fillId="5" borderId="6" xfId="7" applyNumberFormat="1" applyFont="1" applyBorder="1" applyAlignment="1">
      <alignment horizontal="center" vertical="center"/>
    </xf>
    <xf numFmtId="0" fontId="35" fillId="7" borderId="0" xfId="0" applyFont="1" applyFill="1" applyAlignment="1">
      <alignment horizontal="left" vertical="center" wrapText="1"/>
    </xf>
    <xf numFmtId="0" fontId="40" fillId="0" borderId="13" xfId="0" applyFont="1" applyBorder="1" applyAlignment="1">
      <alignment horizontal="center" vertical="center"/>
    </xf>
    <xf numFmtId="10" fontId="41" fillId="5" borderId="6" xfId="7" applyNumberFormat="1" applyFont="1" applyBorder="1" applyAlignment="1">
      <alignment horizontal="center" vertical="center"/>
    </xf>
    <xf numFmtId="10" fontId="42" fillId="2" borderId="6" xfId="8" applyNumberFormat="1" applyFont="1" applyFill="1" applyBorder="1" applyAlignment="1">
      <alignment horizontal="center" vertical="center" wrapText="1"/>
    </xf>
    <xf numFmtId="10" fontId="38" fillId="0" borderId="5" xfId="5" applyNumberFormat="1" applyFont="1" applyFill="1" applyBorder="1" applyAlignment="1">
      <alignment horizontal="center" vertical="center"/>
    </xf>
    <xf numFmtId="10" fontId="38" fillId="0" borderId="5" xfId="6" applyNumberFormat="1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1" fontId="44" fillId="0" borderId="5" xfId="10" applyNumberFormat="1" applyFont="1" applyBorder="1" applyAlignment="1">
      <alignment horizontal="center" vertical="center"/>
    </xf>
    <xf numFmtId="1" fontId="41" fillId="5" borderId="6" xfId="7" applyNumberFormat="1" applyFont="1" applyBorder="1" applyAlignment="1">
      <alignment horizontal="center" vertical="center"/>
    </xf>
    <xf numFmtId="1" fontId="42" fillId="2" borderId="6" xfId="8" applyNumberFormat="1" applyFont="1" applyFill="1" applyBorder="1" applyAlignment="1">
      <alignment horizontal="center" vertical="center" wrapText="1"/>
    </xf>
    <xf numFmtId="1" fontId="37" fillId="2" borderId="6" xfId="5" applyNumberFormat="1" applyFont="1" applyBorder="1" applyAlignment="1">
      <alignment horizontal="center" vertical="center"/>
    </xf>
    <xf numFmtId="0" fontId="44" fillId="0" borderId="5" xfId="5" applyFont="1" applyFill="1" applyBorder="1" applyAlignment="1" applyProtection="1">
      <alignment horizontal="center" vertical="center"/>
      <protection locked="0"/>
    </xf>
    <xf numFmtId="0" fontId="44" fillId="0" borderId="5" xfId="6" applyFont="1" applyFill="1" applyBorder="1" applyAlignment="1" applyProtection="1">
      <alignment horizontal="center" vertical="center"/>
      <protection locked="0"/>
    </xf>
    <xf numFmtId="0" fontId="21" fillId="0" borderId="13" xfId="0" applyFont="1" applyBorder="1" applyAlignment="1">
      <alignment horizontal="center" vertical="center"/>
    </xf>
    <xf numFmtId="0" fontId="32" fillId="0" borderId="0" xfId="4" applyFont="1" applyFill="1" applyAlignment="1">
      <alignment vertical="center"/>
    </xf>
    <xf numFmtId="49" fontId="43" fillId="2" borderId="3" xfId="5" applyNumberFormat="1" applyFont="1" applyBorder="1" applyAlignment="1">
      <alignment horizontal="center" vertical="center" wrapText="1"/>
    </xf>
    <xf numFmtId="49" fontId="22" fillId="7" borderId="0" xfId="0" applyNumberFormat="1" applyFont="1" applyFill="1" applyAlignment="1">
      <alignment horizontal="center" vertical="center" wrapText="1"/>
    </xf>
    <xf numFmtId="0" fontId="11" fillId="0" borderId="0" xfId="0" applyFont="1"/>
    <xf numFmtId="9" fontId="22" fillId="0" borderId="0" xfId="8" applyFont="1"/>
    <xf numFmtId="0" fontId="22" fillId="0" borderId="0" xfId="0" applyFont="1"/>
    <xf numFmtId="0" fontId="22" fillId="8" borderId="0" xfId="0" applyFont="1" applyFill="1"/>
    <xf numFmtId="10" fontId="42" fillId="2" borderId="6" xfId="5" applyNumberFormat="1" applyFont="1" applyBorder="1" applyAlignment="1">
      <alignment horizontal="center" vertical="center"/>
    </xf>
    <xf numFmtId="10" fontId="38" fillId="0" borderId="5" xfId="8" applyNumberFormat="1" applyFont="1" applyBorder="1" applyAlignment="1">
      <alignment horizontal="center" vertical="center"/>
    </xf>
    <xf numFmtId="14" fontId="22" fillId="7" borderId="0" xfId="0" applyNumberFormat="1" applyFont="1" applyFill="1"/>
    <xf numFmtId="3" fontId="44" fillId="0" borderId="5" xfId="5" applyNumberFormat="1" applyFont="1" applyFill="1" applyBorder="1" applyAlignment="1" applyProtection="1">
      <alignment horizontal="center" vertical="center"/>
      <protection locked="0"/>
    </xf>
    <xf numFmtId="2" fontId="44" fillId="0" borderId="5" xfId="5" applyNumberFormat="1" applyFont="1" applyFill="1" applyBorder="1" applyAlignment="1" applyProtection="1">
      <alignment horizontal="center" vertical="center"/>
      <protection locked="0"/>
    </xf>
    <xf numFmtId="0" fontId="37" fillId="5" borderId="6" xfId="7" applyFont="1" applyBorder="1" applyAlignment="1">
      <alignment horizontal="center" vertical="center"/>
    </xf>
    <xf numFmtId="0" fontId="45" fillId="2" borderId="6" xfId="5" applyFont="1" applyBorder="1" applyAlignment="1">
      <alignment horizontal="center" vertical="center" wrapText="1"/>
    </xf>
    <xf numFmtId="4" fontId="37" fillId="5" borderId="6" xfId="7" applyNumberFormat="1" applyFont="1" applyBorder="1" applyAlignment="1">
      <alignment horizontal="center" vertical="center"/>
    </xf>
    <xf numFmtId="0" fontId="10" fillId="7" borderId="0" xfId="0" applyFont="1" applyFill="1"/>
    <xf numFmtId="0" fontId="22" fillId="7" borderId="0" xfId="0" applyFont="1" applyFill="1" applyAlignment="1">
      <alignment horizontal="left" vertical="center"/>
    </xf>
    <xf numFmtId="0" fontId="22" fillId="8" borderId="0" xfId="0" applyFont="1" applyFill="1" applyAlignment="1">
      <alignment horizontal="left" vertical="center" wrapText="1"/>
    </xf>
    <xf numFmtId="168" fontId="44" fillId="0" borderId="5" xfId="5" applyNumberFormat="1" applyFont="1" applyFill="1" applyBorder="1" applyAlignment="1">
      <alignment horizontal="center" vertical="center"/>
    </xf>
    <xf numFmtId="168" fontId="39" fillId="5" borderId="6" xfId="8" applyNumberFormat="1" applyFont="1" applyFill="1" applyBorder="1" applyAlignment="1">
      <alignment horizontal="center" vertical="center"/>
    </xf>
    <xf numFmtId="0" fontId="45" fillId="2" borderId="6" xfId="5" applyFont="1" applyBorder="1" applyAlignment="1">
      <alignment horizontal="center" vertical="center"/>
    </xf>
    <xf numFmtId="10" fontId="39" fillId="0" borderId="5" xfId="8" applyNumberFormat="1" applyFont="1" applyBorder="1" applyAlignment="1" applyProtection="1">
      <alignment horizontal="center" vertical="center"/>
      <protection locked="0"/>
    </xf>
    <xf numFmtId="10" fontId="46" fillId="0" borderId="5" xfId="8" applyNumberFormat="1" applyFont="1" applyBorder="1" applyAlignment="1" applyProtection="1">
      <alignment horizontal="center" vertical="center"/>
      <protection locked="0"/>
    </xf>
    <xf numFmtId="10" fontId="16" fillId="0" borderId="5" xfId="8" applyNumberFormat="1" applyFont="1" applyBorder="1" applyAlignment="1" applyProtection="1">
      <alignment horizontal="center" vertical="center"/>
      <protection locked="0"/>
    </xf>
    <xf numFmtId="9" fontId="43" fillId="11" borderId="5" xfId="8" applyFont="1" applyFill="1" applyBorder="1" applyAlignment="1" applyProtection="1">
      <alignment horizontal="center" vertical="center"/>
      <protection locked="0"/>
    </xf>
    <xf numFmtId="9" fontId="43" fillId="0" borderId="5" xfId="8" applyFont="1" applyBorder="1" applyAlignment="1" applyProtection="1">
      <alignment horizontal="center" vertical="center"/>
      <protection locked="0"/>
    </xf>
    <xf numFmtId="0" fontId="43" fillId="0" borderId="5" xfId="5" applyFont="1" applyFill="1" applyBorder="1" applyAlignment="1" applyProtection="1">
      <alignment horizontal="center" vertical="center"/>
      <protection locked="0"/>
    </xf>
    <xf numFmtId="10" fontId="42" fillId="5" borderId="6" xfId="7" applyNumberFormat="1" applyFont="1" applyBorder="1" applyAlignment="1">
      <alignment horizontal="center" vertical="center"/>
    </xf>
    <xf numFmtId="0" fontId="34" fillId="2" borderId="6" xfId="5" applyFont="1" applyBorder="1" applyAlignment="1">
      <alignment horizontal="center" vertical="center"/>
    </xf>
    <xf numFmtId="0" fontId="35" fillId="7" borderId="0" xfId="0" applyFont="1" applyFill="1" applyAlignment="1">
      <alignment horizontal="left" vertical="center"/>
    </xf>
    <xf numFmtId="0" fontId="23" fillId="0" borderId="0" xfId="0" applyFont="1"/>
    <xf numFmtId="0" fontId="23" fillId="7" borderId="0" xfId="0" applyFont="1" applyFill="1"/>
    <xf numFmtId="0" fontId="38" fillId="0" borderId="25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8" fillId="0" borderId="0" xfId="4" applyFont="1" applyFill="1" applyAlignment="1">
      <alignment vertical="center"/>
    </xf>
    <xf numFmtId="0" fontId="22" fillId="0" borderId="0" xfId="4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11" fillId="7" borderId="3" xfId="0" applyNumberFormat="1" applyFont="1" applyFill="1" applyBorder="1" applyAlignment="1">
      <alignment horizontal="center" vertical="center"/>
    </xf>
    <xf numFmtId="49" fontId="44" fillId="7" borderId="3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 wrapText="1"/>
    </xf>
    <xf numFmtId="9" fontId="49" fillId="0" borderId="5" xfId="6" applyNumberFormat="1" applyFont="1" applyFill="1" applyBorder="1" applyAlignment="1" applyProtection="1">
      <alignment horizontal="center" vertical="center"/>
      <protection locked="0"/>
    </xf>
    <xf numFmtId="0" fontId="50" fillId="0" borderId="0" xfId="0" applyFont="1"/>
    <xf numFmtId="9" fontId="43" fillId="0" borderId="5" xfId="5" applyNumberFormat="1" applyFont="1" applyFill="1" applyBorder="1" applyAlignment="1" applyProtection="1">
      <alignment horizontal="center" vertical="center"/>
      <protection locked="0"/>
    </xf>
    <xf numFmtId="9" fontId="51" fillId="0" borderId="5" xfId="6" applyNumberFormat="1" applyFont="1" applyFill="1" applyBorder="1" applyAlignment="1" applyProtection="1">
      <alignment horizontal="center" vertical="center"/>
      <protection locked="0"/>
    </xf>
    <xf numFmtId="10" fontId="52" fillId="0" borderId="5" xfId="6" applyNumberFormat="1" applyFont="1" applyFill="1" applyBorder="1" applyAlignment="1" applyProtection="1">
      <alignment horizontal="center" vertical="center"/>
      <protection locked="0"/>
    </xf>
    <xf numFmtId="9" fontId="42" fillId="5" borderId="20" xfId="7" applyNumberFormat="1" applyFont="1" applyBorder="1" applyAlignment="1">
      <alignment horizontal="center" vertical="center"/>
    </xf>
    <xf numFmtId="9" fontId="43" fillId="2" borderId="6" xfId="5" applyNumberFormat="1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9" fontId="49" fillId="0" borderId="12" xfId="6" applyNumberFormat="1" applyFont="1" applyFill="1" applyBorder="1" applyAlignment="1" applyProtection="1">
      <alignment horizontal="center" vertical="center"/>
      <protection locked="0"/>
    </xf>
    <xf numFmtId="9" fontId="43" fillId="0" borderId="12" xfId="5" applyNumberFormat="1" applyFont="1" applyFill="1" applyBorder="1" applyAlignment="1" applyProtection="1">
      <alignment horizontal="center" vertical="center"/>
      <protection locked="0"/>
    </xf>
    <xf numFmtId="9" fontId="49" fillId="0" borderId="0" xfId="6" applyNumberFormat="1" applyFont="1" applyFill="1" applyAlignment="1" applyProtection="1">
      <alignment horizontal="center" vertical="center"/>
      <protection locked="0"/>
    </xf>
    <xf numFmtId="9" fontId="42" fillId="0" borderId="0" xfId="7" applyNumberFormat="1" applyFont="1" applyFill="1" applyBorder="1" applyAlignment="1">
      <alignment horizontal="center" vertical="center"/>
    </xf>
    <xf numFmtId="9" fontId="43" fillId="0" borderId="0" xfId="5" applyNumberFormat="1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0" fillId="0" borderId="0" xfId="0" applyFont="1"/>
    <xf numFmtId="9" fontId="53" fillId="0" borderId="5" xfId="6" applyNumberFormat="1" applyFont="1" applyFill="1" applyBorder="1" applyAlignment="1" applyProtection="1">
      <alignment horizontal="center" vertical="center"/>
      <protection locked="0"/>
    </xf>
    <xf numFmtId="9" fontId="52" fillId="0" borderId="0" xfId="6" applyNumberFormat="1" applyFont="1" applyFill="1" applyAlignment="1" applyProtection="1">
      <alignment horizontal="center" vertical="center"/>
      <protection locked="0"/>
    </xf>
    <xf numFmtId="9" fontId="54" fillId="0" borderId="5" xfId="5" applyNumberFormat="1" applyFont="1" applyFill="1" applyBorder="1" applyAlignment="1">
      <alignment horizontal="center" vertical="center"/>
    </xf>
    <xf numFmtId="10" fontId="54" fillId="0" borderId="5" xfId="5" applyNumberFormat="1" applyFont="1" applyFill="1" applyBorder="1" applyAlignment="1">
      <alignment horizontal="center" vertical="center"/>
    </xf>
    <xf numFmtId="10" fontId="52" fillId="0" borderId="0" xfId="5" applyNumberFormat="1" applyFont="1" applyFill="1" applyAlignment="1">
      <alignment horizontal="center" vertical="center"/>
    </xf>
    <xf numFmtId="10" fontId="42" fillId="5" borderId="20" xfId="7" applyNumberFormat="1" applyFont="1" applyBorder="1" applyAlignment="1">
      <alignment horizontal="center" vertical="center"/>
    </xf>
    <xf numFmtId="49" fontId="22" fillId="7" borderId="4" xfId="0" applyNumberFormat="1" applyFont="1" applyFill="1" applyBorder="1" applyAlignment="1">
      <alignment horizontal="center" vertical="center" wrapText="1"/>
    </xf>
    <xf numFmtId="49" fontId="47" fillId="7" borderId="0" xfId="0" applyNumberFormat="1" applyFont="1" applyFill="1" applyAlignment="1">
      <alignment horizontal="center" vertical="center" wrapText="1"/>
    </xf>
    <xf numFmtId="9" fontId="51" fillId="0" borderId="5" xfId="5" applyNumberFormat="1" applyFont="1" applyFill="1" applyBorder="1" applyAlignment="1">
      <alignment horizontal="center" vertical="center"/>
    </xf>
    <xf numFmtId="9" fontId="52" fillId="0" borderId="0" xfId="5" applyNumberFormat="1" applyFont="1" applyFill="1" applyAlignment="1">
      <alignment horizontal="center" vertical="center"/>
    </xf>
    <xf numFmtId="0" fontId="22" fillId="7" borderId="53" xfId="0" applyFont="1" applyFill="1" applyBorder="1"/>
    <xf numFmtId="0" fontId="44" fillId="0" borderId="0" xfId="5" applyFont="1" applyFill="1" applyAlignment="1" applyProtection="1">
      <alignment horizontal="center" vertical="center"/>
      <protection locked="0"/>
    </xf>
    <xf numFmtId="0" fontId="37" fillId="5" borderId="20" xfId="8" applyNumberFormat="1" applyFont="1" applyFill="1" applyBorder="1" applyAlignment="1">
      <alignment horizontal="center" vertical="center"/>
    </xf>
    <xf numFmtId="0" fontId="43" fillId="2" borderId="6" xfId="5" applyFont="1" applyBorder="1" applyAlignment="1">
      <alignment horizontal="center" vertical="center" wrapText="1"/>
    </xf>
    <xf numFmtId="10" fontId="55" fillId="0" borderId="5" xfId="9" applyNumberFormat="1" applyFont="1" applyFill="1" applyBorder="1" applyAlignment="1" applyProtection="1">
      <alignment horizontal="center" vertical="center"/>
      <protection locked="0"/>
    </xf>
    <xf numFmtId="10" fontId="56" fillId="0" borderId="5" xfId="5" applyNumberFormat="1" applyFont="1" applyFill="1" applyBorder="1" applyAlignment="1" applyProtection="1">
      <alignment horizontal="center" vertical="center"/>
      <protection locked="0"/>
    </xf>
    <xf numFmtId="10" fontId="57" fillId="0" borderId="5" xfId="5" applyNumberFormat="1" applyFont="1" applyFill="1" applyBorder="1" applyAlignment="1" applyProtection="1">
      <alignment horizontal="center" vertical="center"/>
      <protection locked="0"/>
    </xf>
    <xf numFmtId="10" fontId="44" fillId="0" borderId="0" xfId="5" applyNumberFormat="1" applyFont="1" applyFill="1" applyAlignment="1" applyProtection="1">
      <alignment horizontal="center" vertical="center"/>
      <protection locked="0"/>
    </xf>
    <xf numFmtId="164" fontId="42" fillId="5" borderId="20" xfId="7" applyNumberFormat="1" applyFont="1" applyBorder="1" applyAlignment="1">
      <alignment horizontal="center" vertical="center"/>
    </xf>
    <xf numFmtId="9" fontId="43" fillId="2" borderId="6" xfId="5" quotePrefix="1" applyNumberFormat="1" applyFont="1" applyBorder="1" applyAlignment="1">
      <alignment horizontal="center" vertical="center" wrapText="1"/>
    </xf>
    <xf numFmtId="10" fontId="55" fillId="0" borderId="12" xfId="9" applyNumberFormat="1" applyFont="1" applyFill="1" applyBorder="1" applyAlignment="1" applyProtection="1">
      <alignment horizontal="center" vertical="center"/>
      <protection locked="0"/>
    </xf>
    <xf numFmtId="10" fontId="56" fillId="0" borderId="12" xfId="5" applyNumberFormat="1" applyFont="1" applyFill="1" applyBorder="1" applyAlignment="1" applyProtection="1">
      <alignment horizontal="center" vertical="center"/>
      <protection locked="0"/>
    </xf>
    <xf numFmtId="0" fontId="58" fillId="0" borderId="12" xfId="5" applyFont="1" applyFill="1" applyBorder="1" applyAlignment="1" applyProtection="1">
      <alignment horizontal="center" vertical="center"/>
      <protection locked="0"/>
    </xf>
    <xf numFmtId="0" fontId="58" fillId="0" borderId="0" xfId="5" applyFont="1" applyFill="1" applyAlignment="1" applyProtection="1">
      <alignment horizontal="center" vertical="center"/>
      <protection locked="0"/>
    </xf>
    <xf numFmtId="166" fontId="37" fillId="0" borderId="0" xfId="7" applyNumberFormat="1" applyFont="1" applyFill="1" applyBorder="1" applyAlignment="1">
      <alignment horizontal="center" vertical="center"/>
    </xf>
    <xf numFmtId="9" fontId="43" fillId="0" borderId="0" xfId="5" quotePrefix="1" applyNumberFormat="1" applyFont="1" applyFill="1" applyAlignment="1">
      <alignment horizontal="center" vertical="center" wrapText="1"/>
    </xf>
    <xf numFmtId="0" fontId="59" fillId="8" borderId="0" xfId="0" applyFont="1" applyFill="1" applyAlignment="1">
      <alignment horizontal="center" vertical="center" wrapText="1"/>
    </xf>
    <xf numFmtId="9" fontId="54" fillId="0" borderId="5" xfId="5" applyNumberFormat="1" applyFont="1" applyFill="1" applyBorder="1" applyAlignment="1" applyProtection="1">
      <alignment horizontal="center" vertical="center"/>
      <protection locked="0"/>
    </xf>
    <xf numFmtId="9" fontId="51" fillId="0" borderId="5" xfId="5" applyNumberFormat="1" applyFont="1" applyFill="1" applyBorder="1" applyAlignment="1" applyProtection="1">
      <alignment horizontal="center" vertical="center"/>
      <protection locked="0"/>
    </xf>
    <xf numFmtId="9" fontId="52" fillId="0" borderId="5" xfId="5" applyNumberFormat="1" applyFont="1" applyFill="1" applyBorder="1" applyAlignment="1" applyProtection="1">
      <alignment horizontal="center" vertical="center"/>
      <protection locked="0"/>
    </xf>
    <xf numFmtId="0" fontId="47" fillId="7" borderId="0" xfId="0" applyFont="1" applyFill="1"/>
    <xf numFmtId="9" fontId="54" fillId="0" borderId="12" xfId="5" applyNumberFormat="1" applyFont="1" applyFill="1" applyBorder="1" applyAlignment="1" applyProtection="1">
      <alignment horizontal="center" vertical="center"/>
      <protection locked="0"/>
    </xf>
    <xf numFmtId="9" fontId="54" fillId="0" borderId="0" xfId="5" applyNumberFormat="1" applyFont="1" applyFill="1" applyAlignment="1" applyProtection="1">
      <alignment horizontal="center" vertical="center"/>
      <protection locked="0"/>
    </xf>
    <xf numFmtId="2" fontId="55" fillId="0" borderId="2" xfId="9" applyNumberFormat="1" applyFont="1" applyFill="1" applyBorder="1" applyAlignment="1" applyProtection="1">
      <alignment horizontal="center" vertical="center"/>
      <protection locked="0"/>
    </xf>
    <xf numFmtId="0" fontId="22" fillId="7" borderId="0" xfId="0" applyFont="1" applyFill="1" applyAlignment="1">
      <alignment horizontal="left" vertical="center" wrapText="1"/>
    </xf>
    <xf numFmtId="0" fontId="23" fillId="0" borderId="0" xfId="0" applyFont="1" applyAlignment="1">
      <alignment vertical="center" wrapText="1"/>
    </xf>
    <xf numFmtId="2" fontId="12" fillId="0" borderId="2" xfId="9" applyNumberFormat="1" applyFont="1" applyFill="1" applyBorder="1" applyAlignment="1" applyProtection="1">
      <alignment horizontal="center" vertical="center"/>
      <protection locked="0"/>
    </xf>
    <xf numFmtId="2" fontId="16" fillId="0" borderId="54" xfId="9" applyNumberFormat="1" applyFont="1" applyFill="1" applyBorder="1" applyAlignment="1" applyProtection="1">
      <alignment horizontal="center" vertical="center"/>
      <protection locked="0"/>
    </xf>
    <xf numFmtId="2" fontId="42" fillId="5" borderId="6" xfId="7" applyNumberFormat="1" applyFont="1" applyBorder="1" applyAlignment="1">
      <alignment horizontal="center" vertical="center"/>
    </xf>
    <xf numFmtId="9" fontId="55" fillId="0" borderId="0" xfId="9" applyNumberFormat="1" applyFont="1" applyFill="1" applyAlignment="1" applyProtection="1">
      <alignment horizontal="center" vertical="center"/>
      <protection locked="0"/>
    </xf>
    <xf numFmtId="0" fontId="22" fillId="0" borderId="0" xfId="0" applyFont="1" applyAlignment="1">
      <alignment horizontal="left" vertical="center" wrapText="1"/>
    </xf>
    <xf numFmtId="9" fontId="12" fillId="0" borderId="0" xfId="9" applyNumberFormat="1" applyFont="1" applyFill="1" applyAlignment="1" applyProtection="1">
      <alignment horizontal="center" vertical="center"/>
      <protection locked="0"/>
    </xf>
    <xf numFmtId="9" fontId="16" fillId="0" borderId="0" xfId="9" applyNumberFormat="1" applyFont="1" applyFill="1" applyAlignment="1" applyProtection="1">
      <alignment horizontal="center" vertical="center"/>
      <protection locked="0"/>
    </xf>
    <xf numFmtId="9" fontId="12" fillId="0" borderId="12" xfId="9" applyNumberFormat="1" applyFont="1" applyFill="1" applyBorder="1" applyAlignment="1" applyProtection="1">
      <alignment horizontal="center" vertical="center"/>
      <protection locked="0"/>
    </xf>
    <xf numFmtId="9" fontId="55" fillId="0" borderId="2" xfId="9" applyNumberFormat="1" applyFont="1" applyFill="1" applyBorder="1" applyAlignment="1" applyProtection="1">
      <alignment horizontal="center" vertical="center"/>
      <protection locked="0"/>
    </xf>
    <xf numFmtId="9" fontId="12" fillId="0" borderId="2" xfId="9" applyNumberFormat="1" applyFont="1" applyFill="1" applyBorder="1" applyAlignment="1" applyProtection="1">
      <alignment horizontal="center" vertical="center"/>
      <protection locked="0"/>
    </xf>
    <xf numFmtId="9" fontId="16" fillId="0" borderId="54" xfId="9" applyNumberFormat="1" applyFont="1" applyFill="1" applyBorder="1" applyAlignment="1" applyProtection="1">
      <alignment horizontal="center" vertical="center"/>
      <protection locked="0"/>
    </xf>
    <xf numFmtId="9" fontId="44" fillId="0" borderId="5" xfId="9" applyNumberFormat="1" applyFont="1" applyFill="1" applyBorder="1" applyAlignment="1" applyProtection="1">
      <alignment horizontal="center" vertical="center"/>
      <protection locked="0"/>
    </xf>
    <xf numFmtId="9" fontId="43" fillId="0" borderId="12" xfId="8" applyFont="1" applyBorder="1" applyAlignment="1" applyProtection="1">
      <alignment horizontal="center" vertical="center" wrapText="1"/>
      <protection locked="0"/>
    </xf>
    <xf numFmtId="9" fontId="43" fillId="0" borderId="0" xfId="8" applyFont="1" applyAlignment="1" applyProtection="1">
      <alignment horizontal="center" vertical="center" wrapText="1"/>
      <protection locked="0"/>
    </xf>
    <xf numFmtId="1" fontId="22" fillId="0" borderId="0" xfId="10" applyNumberFormat="1" applyFont="1" applyAlignment="1" applyProtection="1">
      <alignment horizontal="center" vertical="center" wrapText="1"/>
      <protection locked="0"/>
    </xf>
    <xf numFmtId="9" fontId="52" fillId="0" borderId="0" xfId="5" applyNumberFormat="1" applyFont="1" applyFill="1" applyAlignment="1" applyProtection="1">
      <alignment horizontal="center" vertical="center"/>
      <protection locked="0"/>
    </xf>
    <xf numFmtId="9" fontId="42" fillId="5" borderId="0" xfId="7" applyNumberFormat="1" applyFont="1" applyBorder="1" applyAlignment="1">
      <alignment horizontal="center" vertical="center"/>
    </xf>
    <xf numFmtId="9" fontId="43" fillId="2" borderId="0" xfId="5" applyNumberFormat="1" applyFont="1" applyAlignment="1">
      <alignment horizontal="center" vertical="center" wrapText="1"/>
    </xf>
    <xf numFmtId="49" fontId="11" fillId="7" borderId="12" xfId="0" applyNumberFormat="1" applyFont="1" applyFill="1" applyBorder="1" applyAlignment="1">
      <alignment horizontal="center" vertical="center"/>
    </xf>
    <xf numFmtId="49" fontId="11" fillId="7" borderId="0" xfId="0" applyNumberFormat="1" applyFont="1" applyFill="1" applyAlignment="1">
      <alignment horizontal="center" vertical="center"/>
    </xf>
    <xf numFmtId="49" fontId="11" fillId="7" borderId="0" xfId="0" applyNumberFormat="1" applyFont="1" applyFill="1" applyAlignment="1">
      <alignment horizontal="center" vertical="center" wrapText="1"/>
    </xf>
    <xf numFmtId="49" fontId="43" fillId="2" borderId="0" xfId="5" applyNumberFormat="1" applyFont="1" applyAlignment="1">
      <alignment horizontal="center" vertical="center" wrapText="1"/>
    </xf>
    <xf numFmtId="49" fontId="22" fillId="7" borderId="5" xfId="0" applyNumberFormat="1" applyFont="1" applyFill="1" applyBorder="1" applyAlignment="1">
      <alignment horizontal="center" vertical="center" wrapText="1"/>
    </xf>
    <xf numFmtId="9" fontId="60" fillId="0" borderId="2" xfId="9" applyNumberFormat="1" applyFont="1" applyFill="1" applyBorder="1" applyAlignment="1" applyProtection="1">
      <alignment horizontal="center" vertical="center"/>
      <protection locked="0"/>
    </xf>
    <xf numFmtId="9" fontId="57" fillId="0" borderId="54" xfId="9" applyNumberFormat="1" applyFont="1" applyFill="1" applyBorder="1" applyAlignment="1" applyProtection="1">
      <alignment horizontal="center" vertical="center"/>
      <protection locked="0"/>
    </xf>
    <xf numFmtId="9" fontId="16" fillId="0" borderId="5" xfId="9" applyNumberFormat="1" applyFont="1" applyFill="1" applyBorder="1" applyAlignment="1" applyProtection="1">
      <alignment horizontal="center" vertical="center"/>
      <protection locked="0"/>
    </xf>
    <xf numFmtId="9" fontId="44" fillId="0" borderId="0" xfId="9" applyNumberFormat="1" applyFont="1" applyFill="1" applyAlignment="1" applyProtection="1">
      <alignment horizontal="center" vertical="center"/>
      <protection locked="0"/>
    </xf>
    <xf numFmtId="0" fontId="12" fillId="0" borderId="5" xfId="5" applyFont="1" applyFill="1" applyBorder="1" applyAlignment="1" applyProtection="1">
      <alignment horizontal="center" vertical="center"/>
      <protection locked="0"/>
    </xf>
    <xf numFmtId="0" fontId="42" fillId="5" borderId="20" xfId="7" applyFont="1" applyBorder="1" applyAlignment="1">
      <alignment horizontal="center" vertical="center"/>
    </xf>
    <xf numFmtId="0" fontId="43" fillId="2" borderId="6" xfId="5" quotePrefix="1" applyFont="1" applyBorder="1" applyAlignment="1">
      <alignment horizontal="center" vertical="center" wrapText="1"/>
    </xf>
    <xf numFmtId="9" fontId="56" fillId="0" borderId="5" xfId="5" applyNumberFormat="1" applyFont="1" applyFill="1" applyBorder="1" applyAlignment="1" applyProtection="1">
      <alignment horizontal="center" vertical="center"/>
      <protection locked="0"/>
    </xf>
    <xf numFmtId="9" fontId="16" fillId="0" borderId="5" xfId="5" applyNumberFormat="1" applyFont="1" applyFill="1" applyBorder="1" applyAlignment="1" applyProtection="1">
      <alignment horizontal="center" vertical="center"/>
      <protection locked="0"/>
    </xf>
    <xf numFmtId="9" fontId="44" fillId="0" borderId="0" xfId="5" applyNumberFormat="1" applyFont="1" applyFill="1" applyAlignment="1" applyProtection="1">
      <alignment horizontal="center" vertical="center"/>
      <protection locked="0"/>
    </xf>
    <xf numFmtId="0" fontId="56" fillId="0" borderId="5" xfId="8" applyNumberFormat="1" applyFont="1" applyBorder="1" applyAlignment="1" applyProtection="1">
      <alignment horizontal="center" vertical="center"/>
      <protection locked="0"/>
    </xf>
    <xf numFmtId="0" fontId="16" fillId="0" borderId="5" xfId="8" applyNumberFormat="1" applyFont="1" applyBorder="1" applyAlignment="1" applyProtection="1">
      <alignment horizontal="center" vertical="center"/>
      <protection locked="0"/>
    </xf>
    <xf numFmtId="0" fontId="44" fillId="0" borderId="0" xfId="8" applyNumberFormat="1" applyFont="1" applyAlignment="1" applyProtection="1">
      <alignment horizontal="center" vertical="center"/>
      <protection locked="0"/>
    </xf>
    <xf numFmtId="0" fontId="42" fillId="5" borderId="20" xfId="8" applyNumberFormat="1" applyFont="1" applyFill="1" applyBorder="1" applyAlignment="1">
      <alignment horizontal="center" vertical="center"/>
    </xf>
    <xf numFmtId="0" fontId="56" fillId="0" borderId="5" xfId="5" applyFont="1" applyFill="1" applyBorder="1" applyAlignment="1" applyProtection="1">
      <alignment horizontal="center" vertical="center"/>
      <protection locked="0"/>
    </xf>
    <xf numFmtId="0" fontId="61" fillId="0" borderId="0" xfId="0" applyFont="1"/>
    <xf numFmtId="0" fontId="16" fillId="0" borderId="0" xfId="5" applyFont="1" applyFill="1" applyAlignment="1" applyProtection="1">
      <alignment horizontal="center" vertical="center"/>
      <protection locked="0"/>
    </xf>
    <xf numFmtId="0" fontId="55" fillId="0" borderId="0" xfId="9" applyFont="1" applyFill="1" applyAlignment="1" applyProtection="1">
      <alignment horizontal="center" vertical="center"/>
      <protection locked="0"/>
    </xf>
    <xf numFmtId="0" fontId="56" fillId="0" borderId="0" xfId="5" applyFont="1" applyFill="1" applyAlignment="1" applyProtection="1">
      <alignment horizontal="center" vertical="center"/>
      <protection locked="0"/>
    </xf>
    <xf numFmtId="0" fontId="42" fillId="0" borderId="0" xfId="7" applyFont="1" applyFill="1" applyBorder="1" applyAlignment="1">
      <alignment horizontal="center" vertical="center"/>
    </xf>
    <xf numFmtId="0" fontId="55" fillId="0" borderId="5" xfId="9" applyFont="1" applyFill="1" applyBorder="1" applyAlignment="1" applyProtection="1">
      <alignment horizontal="center" vertical="center"/>
      <protection locked="0"/>
    </xf>
    <xf numFmtId="9" fontId="62" fillId="2" borderId="6" xfId="5" quotePrefix="1" applyNumberFormat="1" applyFont="1" applyBorder="1" applyAlignment="1">
      <alignment horizontal="center" vertical="center" wrapText="1"/>
    </xf>
    <xf numFmtId="10" fontId="16" fillId="0" borderId="5" xfId="5" applyNumberFormat="1" applyFont="1" applyFill="1" applyBorder="1" applyAlignment="1" applyProtection="1">
      <alignment horizontal="center" vertical="center"/>
      <protection locked="0"/>
    </xf>
    <xf numFmtId="9" fontId="49" fillId="0" borderId="12" xfId="6" applyNumberFormat="1" applyFont="1" applyFill="1" applyBorder="1" applyAlignment="1">
      <alignment horizontal="center" vertical="center"/>
    </xf>
    <xf numFmtId="0" fontId="33" fillId="7" borderId="0" xfId="0" applyFont="1" applyFill="1"/>
    <xf numFmtId="9" fontId="53" fillId="0" borderId="5" xfId="6" applyNumberFormat="1" applyFont="1" applyFill="1" applyBorder="1" applyAlignment="1">
      <alignment horizontal="center" vertical="center"/>
    </xf>
    <xf numFmtId="9" fontId="12" fillId="5" borderId="20" xfId="7" applyNumberFormat="1" applyFont="1" applyBorder="1" applyAlignment="1">
      <alignment horizontal="center" vertical="center"/>
    </xf>
    <xf numFmtId="10" fontId="54" fillId="0" borderId="5" xfId="5" applyNumberFormat="1" applyFont="1" applyFill="1" applyBorder="1" applyAlignment="1" applyProtection="1">
      <alignment horizontal="center" vertical="center"/>
      <protection locked="0"/>
    </xf>
    <xf numFmtId="10" fontId="51" fillId="0" borderId="5" xfId="5" applyNumberFormat="1" applyFont="1" applyFill="1" applyBorder="1" applyAlignment="1" applyProtection="1">
      <alignment horizontal="center" vertical="center"/>
      <protection locked="0"/>
    </xf>
    <xf numFmtId="10" fontId="52" fillId="0" borderId="0" xfId="5" applyNumberFormat="1" applyFont="1" applyFill="1" applyAlignment="1" applyProtection="1">
      <alignment horizontal="center" vertical="center"/>
      <protection locked="0"/>
    </xf>
    <xf numFmtId="49" fontId="21" fillId="7" borderId="3" xfId="0" applyNumberFormat="1" applyFont="1" applyFill="1" applyBorder="1" applyAlignment="1">
      <alignment horizontal="center" vertical="center" wrapText="1"/>
    </xf>
    <xf numFmtId="49" fontId="63" fillId="2" borderId="3" xfId="5" applyNumberFormat="1" applyFont="1" applyBorder="1" applyAlignment="1">
      <alignment horizontal="center" vertical="center" wrapText="1"/>
    </xf>
    <xf numFmtId="0" fontId="64" fillId="0" borderId="5" xfId="5" applyFont="1" applyFill="1" applyBorder="1" applyAlignment="1" applyProtection="1">
      <alignment horizontal="center" vertical="center"/>
      <protection locked="0"/>
    </xf>
    <xf numFmtId="0" fontId="64" fillId="0" borderId="5" xfId="6" applyFont="1" applyFill="1" applyBorder="1" applyAlignment="1" applyProtection="1">
      <alignment horizontal="center" vertical="center"/>
      <protection locked="0"/>
    </xf>
    <xf numFmtId="0" fontId="64" fillId="0" borderId="8" xfId="5" applyFont="1" applyFill="1" applyBorder="1" applyAlignment="1" applyProtection="1">
      <alignment horizontal="center" vertical="center"/>
      <protection locked="0"/>
    </xf>
    <xf numFmtId="0" fontId="64" fillId="5" borderId="6" xfId="7" applyFont="1" applyBorder="1" applyAlignment="1">
      <alignment horizontal="center" vertical="center"/>
    </xf>
    <xf numFmtId="0" fontId="64" fillId="2" borderId="6" xfId="5" quotePrefix="1" applyFont="1" applyBorder="1" applyAlignment="1">
      <alignment horizontal="center" vertical="center" wrapText="1"/>
    </xf>
    <xf numFmtId="169" fontId="64" fillId="0" borderId="5" xfId="5" applyNumberFormat="1" applyFont="1" applyFill="1" applyBorder="1" applyAlignment="1">
      <alignment horizontal="center" vertical="center"/>
    </xf>
    <xf numFmtId="169" fontId="64" fillId="0" borderId="5" xfId="6" applyNumberFormat="1" applyFont="1" applyFill="1" applyBorder="1" applyAlignment="1">
      <alignment horizontal="center" vertical="center"/>
    </xf>
    <xf numFmtId="10" fontId="64" fillId="5" borderId="6" xfId="7" applyNumberFormat="1" applyFont="1" applyBorder="1" applyAlignment="1">
      <alignment horizontal="center" vertical="center"/>
    </xf>
    <xf numFmtId="10" fontId="64" fillId="2" borderId="6" xfId="8" applyNumberFormat="1" applyFont="1" applyFill="1" applyBorder="1" applyAlignment="1">
      <alignment horizontal="center" vertical="center" wrapText="1"/>
    </xf>
    <xf numFmtId="10" fontId="65" fillId="0" borderId="5" xfId="5" applyNumberFormat="1" applyFont="1" applyFill="1" applyBorder="1" applyAlignment="1">
      <alignment horizontal="center" vertical="center"/>
    </xf>
    <xf numFmtId="165" fontId="64" fillId="5" borderId="6" xfId="7" applyNumberFormat="1" applyFont="1" applyBorder="1" applyAlignment="1">
      <alignment horizontal="center" vertical="center"/>
    </xf>
    <xf numFmtId="0" fontId="64" fillId="2" borderId="6" xfId="8" applyNumberFormat="1" applyFont="1" applyFill="1" applyBorder="1" applyAlignment="1">
      <alignment horizontal="center" vertical="center" wrapText="1"/>
    </xf>
    <xf numFmtId="1" fontId="64" fillId="2" borderId="6" xfId="5" applyNumberFormat="1" applyFont="1" applyBorder="1" applyAlignment="1">
      <alignment horizontal="center" vertical="center"/>
    </xf>
    <xf numFmtId="17" fontId="21" fillId="7" borderId="3" xfId="0" applyNumberFormat="1" applyFont="1" applyFill="1" applyBorder="1" applyAlignment="1">
      <alignment horizontal="center" vertical="center" wrapText="1"/>
    </xf>
    <xf numFmtId="49" fontId="65" fillId="2" borderId="3" xfId="5" applyNumberFormat="1" applyFont="1" applyBorder="1" applyAlignment="1">
      <alignment horizontal="center" vertical="center" wrapText="1"/>
    </xf>
    <xf numFmtId="0" fontId="21" fillId="0" borderId="0" xfId="0" applyFont="1"/>
    <xf numFmtId="10" fontId="64" fillId="0" borderId="5" xfId="8" applyNumberFormat="1" applyFont="1" applyBorder="1" applyAlignment="1">
      <alignment horizontal="center" vertical="center"/>
    </xf>
    <xf numFmtId="10" fontId="64" fillId="0" borderId="5" xfId="6" applyNumberFormat="1" applyFont="1" applyFill="1" applyBorder="1" applyAlignment="1">
      <alignment horizontal="center" vertical="center"/>
    </xf>
    <xf numFmtId="10" fontId="66" fillId="5" borderId="6" xfId="7" applyNumberFormat="1" applyFont="1" applyBorder="1" applyAlignment="1">
      <alignment horizontal="center" vertical="center"/>
    </xf>
    <xf numFmtId="10" fontId="67" fillId="2" borderId="6" xfId="5" applyNumberFormat="1" applyFont="1" applyBorder="1" applyAlignment="1">
      <alignment horizontal="center" vertical="center"/>
    </xf>
    <xf numFmtId="0" fontId="46" fillId="0" borderId="5" xfId="5" applyFont="1" applyFill="1" applyBorder="1" applyAlignment="1" applyProtection="1">
      <alignment horizontal="center" vertical="center"/>
      <protection locked="0"/>
    </xf>
    <xf numFmtId="0" fontId="46" fillId="5" borderId="6" xfId="7" applyFont="1" applyBorder="1" applyAlignment="1">
      <alignment horizontal="center" vertical="center"/>
    </xf>
    <xf numFmtId="0" fontId="68" fillId="2" borderId="6" xfId="5" applyFont="1" applyBorder="1" applyAlignment="1">
      <alignment horizontal="center" vertical="center" wrapText="1"/>
    </xf>
    <xf numFmtId="4" fontId="46" fillId="5" borderId="6" xfId="7" applyNumberFormat="1" applyFont="1" applyBorder="1" applyAlignment="1">
      <alignment horizontal="center" vertical="center"/>
    </xf>
    <xf numFmtId="168" fontId="46" fillId="0" borderId="5" xfId="5" applyNumberFormat="1" applyFont="1" applyFill="1" applyBorder="1" applyAlignment="1">
      <alignment horizontal="center" vertical="center"/>
    </xf>
    <xf numFmtId="9" fontId="43" fillId="12" borderId="5" xfId="8" applyFont="1" applyFill="1" applyBorder="1" applyAlignment="1" applyProtection="1">
      <alignment horizontal="center" vertical="center"/>
      <protection locked="0"/>
    </xf>
    <xf numFmtId="0" fontId="43" fillId="12" borderId="5" xfId="5" applyFont="1" applyFill="1" applyBorder="1" applyAlignment="1" applyProtection="1">
      <alignment horizontal="center" vertical="center"/>
      <protection locked="0"/>
    </xf>
    <xf numFmtId="10" fontId="39" fillId="12" borderId="5" xfId="8" applyNumberFormat="1" applyFont="1" applyFill="1" applyBorder="1" applyAlignment="1" applyProtection="1">
      <alignment horizontal="center" vertical="center"/>
      <protection locked="0"/>
    </xf>
    <xf numFmtId="10" fontId="46" fillId="12" borderId="5" xfId="8" applyNumberFormat="1" applyFont="1" applyFill="1" applyBorder="1" applyAlignment="1" applyProtection="1">
      <alignment horizontal="center" vertical="center"/>
      <protection locked="0"/>
    </xf>
    <xf numFmtId="10" fontId="16" fillId="12" borderId="5" xfId="8" applyNumberFormat="1" applyFont="1" applyFill="1" applyBorder="1" applyAlignment="1" applyProtection="1">
      <alignment horizontal="center" vertical="center"/>
      <protection locked="0"/>
    </xf>
    <xf numFmtId="0" fontId="10" fillId="7" borderId="0" xfId="0" applyFont="1" applyFill="1" applyAlignment="1">
      <alignment vertical="center" wrapText="1"/>
    </xf>
    <xf numFmtId="0" fontId="11" fillId="7" borderId="0" xfId="0" applyFont="1" applyFill="1"/>
    <xf numFmtId="9" fontId="38" fillId="2" borderId="5" xfId="8" applyFont="1" applyFill="1" applyBorder="1" applyAlignment="1" applyProtection="1">
      <alignment horizontal="center" vertical="center" wrapText="1"/>
      <protection locked="0"/>
    </xf>
    <xf numFmtId="9" fontId="39" fillId="5" borderId="6" xfId="8" applyFont="1" applyFill="1" applyBorder="1" applyAlignment="1">
      <alignment horizontal="center" vertical="center" wrapText="1"/>
    </xf>
    <xf numFmtId="0" fontId="43" fillId="2" borderId="6" xfId="5" applyFont="1" applyBorder="1" applyAlignment="1">
      <alignment horizontal="center" vertical="center"/>
    </xf>
    <xf numFmtId="9" fontId="20" fillId="2" borderId="5" xfId="8" applyFont="1" applyFill="1" applyBorder="1" applyAlignment="1" applyProtection="1">
      <alignment horizontal="center" vertical="center" wrapText="1"/>
      <protection locked="0"/>
    </xf>
    <xf numFmtId="0" fontId="70" fillId="7" borderId="0" xfId="0" applyFont="1" applyFill="1"/>
    <xf numFmtId="1" fontId="38" fillId="2" borderId="5" xfId="8" applyNumberFormat="1" applyFont="1" applyFill="1" applyBorder="1" applyAlignment="1" applyProtection="1">
      <alignment horizontal="center" vertical="center" wrapText="1"/>
      <protection locked="0"/>
    </xf>
    <xf numFmtId="1" fontId="16" fillId="5" borderId="6" xfId="8" applyNumberFormat="1" applyFont="1" applyFill="1" applyBorder="1" applyAlignment="1">
      <alignment horizontal="center" vertical="center" wrapText="1"/>
    </xf>
    <xf numFmtId="1" fontId="20" fillId="2" borderId="5" xfId="8" applyNumberFormat="1" applyFont="1" applyFill="1" applyBorder="1" applyAlignment="1" applyProtection="1">
      <alignment horizontal="center" vertical="center" wrapText="1"/>
      <protection locked="0"/>
    </xf>
    <xf numFmtId="10" fontId="44" fillId="0" borderId="5" xfId="8" applyNumberFormat="1" applyFont="1" applyBorder="1" applyAlignment="1" applyProtection="1">
      <alignment horizontal="center" vertical="center" wrapText="1"/>
      <protection locked="0"/>
    </xf>
    <xf numFmtId="10" fontId="42" fillId="5" borderId="6" xfId="8" applyNumberFormat="1" applyFont="1" applyFill="1" applyBorder="1" applyAlignment="1">
      <alignment horizontal="center" vertical="center" wrapText="1"/>
    </xf>
    <xf numFmtId="10" fontId="57" fillId="5" borderId="6" xfId="8" applyNumberFormat="1" applyFont="1" applyFill="1" applyBorder="1" applyAlignment="1">
      <alignment horizontal="center" vertical="center" wrapText="1"/>
    </xf>
    <xf numFmtId="9" fontId="44" fillId="0" borderId="5" xfId="8" applyFont="1" applyBorder="1" applyAlignment="1" applyProtection="1">
      <alignment horizontal="center" vertical="center" wrapText="1"/>
      <protection locked="0"/>
    </xf>
    <xf numFmtId="9" fontId="42" fillId="5" borderId="6" xfId="8" applyFont="1" applyFill="1" applyBorder="1" applyAlignment="1">
      <alignment horizontal="center" vertical="center" wrapText="1"/>
    </xf>
    <xf numFmtId="49" fontId="11" fillId="7" borderId="14" xfId="0" applyNumberFormat="1" applyFont="1" applyFill="1" applyBorder="1" applyAlignment="1">
      <alignment horizontal="center" vertical="center" wrapText="1"/>
    </xf>
    <xf numFmtId="49" fontId="11" fillId="7" borderId="15" xfId="0" applyNumberFormat="1" applyFont="1" applyFill="1" applyBorder="1" applyAlignment="1">
      <alignment horizontal="center" vertical="center" wrapText="1"/>
    </xf>
    <xf numFmtId="49" fontId="16" fillId="7" borderId="15" xfId="0" applyNumberFormat="1" applyFont="1" applyFill="1" applyBorder="1" applyAlignment="1">
      <alignment horizontal="center" vertical="center" wrapText="1"/>
    </xf>
    <xf numFmtId="49" fontId="43" fillId="2" borderId="16" xfId="5" applyNumberFormat="1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9" fontId="43" fillId="0" borderId="5" xfId="8" applyFont="1" applyBorder="1" applyAlignment="1" applyProtection="1">
      <alignment horizontal="center" vertical="center" wrapText="1"/>
      <protection locked="0"/>
    </xf>
    <xf numFmtId="9" fontId="16" fillId="0" borderId="5" xfId="8" applyFont="1" applyBorder="1" applyAlignment="1" applyProtection="1">
      <alignment horizontal="center" vertical="center" wrapText="1"/>
      <protection locked="0"/>
    </xf>
    <xf numFmtId="9" fontId="42" fillId="0" borderId="6" xfId="8" applyFont="1" applyBorder="1" applyAlignment="1">
      <alignment horizontal="center" vertical="center" wrapText="1"/>
    </xf>
    <xf numFmtId="0" fontId="43" fillId="0" borderId="6" xfId="5" applyFont="1" applyFill="1" applyBorder="1" applyAlignment="1">
      <alignment horizontal="center" vertical="center"/>
    </xf>
    <xf numFmtId="0" fontId="57" fillId="7" borderId="0" xfId="0" applyFont="1" applyFill="1" applyAlignment="1">
      <alignment horizontal="left" vertical="center" wrapText="1"/>
    </xf>
    <xf numFmtId="0" fontId="22" fillId="7" borderId="5" xfId="0" applyFont="1" applyFill="1" applyBorder="1"/>
    <xf numFmtId="0" fontId="36" fillId="5" borderId="6" xfId="7" applyFont="1" applyBorder="1" applyAlignment="1">
      <alignment horizontal="center" vertical="center"/>
    </xf>
    <xf numFmtId="0" fontId="63" fillId="2" borderId="6" xfId="5" applyFont="1" applyBorder="1" applyAlignment="1">
      <alignment horizontal="center" vertical="center"/>
    </xf>
    <xf numFmtId="0" fontId="71" fillId="0" borderId="0" xfId="0" applyFont="1"/>
    <xf numFmtId="0" fontId="72" fillId="5" borderId="6" xfId="7" applyFont="1" applyBorder="1" applyAlignment="1">
      <alignment horizontal="center" vertical="center"/>
    </xf>
    <xf numFmtId="0" fontId="71" fillId="7" borderId="0" xfId="0" applyFont="1" applyFill="1"/>
    <xf numFmtId="0" fontId="70" fillId="0" borderId="22" xfId="0" applyFont="1" applyBorder="1" applyAlignment="1">
      <alignment horizontal="center"/>
    </xf>
    <xf numFmtId="0" fontId="70" fillId="0" borderId="21" xfId="0" applyFont="1" applyBorder="1" applyAlignment="1">
      <alignment horizontal="center"/>
    </xf>
    <xf numFmtId="0" fontId="70" fillId="0" borderId="20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63" fillId="0" borderId="0" xfId="5" applyFont="1" applyFill="1" applyAlignment="1">
      <alignment horizontal="center" vertical="center" wrapText="1"/>
    </xf>
    <xf numFmtId="0" fontId="72" fillId="0" borderId="0" xfId="7" applyFont="1" applyFill="1" applyBorder="1" applyAlignment="1">
      <alignment horizontal="center" vertical="center"/>
    </xf>
    <xf numFmtId="0" fontId="65" fillId="0" borderId="0" xfId="5" applyFont="1" applyFill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43" fillId="2" borderId="5" xfId="5" applyFont="1" applyBorder="1" applyAlignment="1">
      <alignment horizontal="center" vertical="center" wrapText="1"/>
    </xf>
    <xf numFmtId="0" fontId="16" fillId="2" borderId="5" xfId="5" applyFont="1" applyBorder="1" applyAlignment="1" applyProtection="1">
      <alignment horizontal="center" vertical="center" wrapText="1"/>
      <protection locked="0"/>
    </xf>
    <xf numFmtId="0" fontId="43" fillId="2" borderId="5" xfId="5" applyFont="1" applyBorder="1" applyAlignment="1" applyProtection="1">
      <alignment horizontal="center" vertical="center" wrapText="1"/>
      <protection locked="0"/>
    </xf>
    <xf numFmtId="0" fontId="44" fillId="2" borderId="5" xfId="5" applyFont="1" applyBorder="1" applyAlignment="1" applyProtection="1">
      <alignment horizontal="center" vertical="center" wrapText="1"/>
      <protection locked="0"/>
    </xf>
    <xf numFmtId="0" fontId="57" fillId="2" borderId="5" xfId="5" applyFont="1" applyBorder="1" applyAlignment="1" applyProtection="1">
      <alignment horizontal="center" vertical="center" wrapText="1"/>
      <protection locked="0"/>
    </xf>
    <xf numFmtId="10" fontId="23" fillId="0" borderId="5" xfId="0" applyNumberFormat="1" applyFont="1" applyBorder="1"/>
    <xf numFmtId="10" fontId="41" fillId="5" borderId="6" xfId="3" applyNumberFormat="1" applyFont="1" applyBorder="1" applyAlignment="1">
      <alignment horizontal="center" vertical="center"/>
    </xf>
    <xf numFmtId="9" fontId="74" fillId="2" borderId="6" xfId="1" applyFont="1" applyFill="1" applyBorder="1" applyAlignment="1">
      <alignment horizontal="center" vertical="center"/>
    </xf>
    <xf numFmtId="10" fontId="47" fillId="0" borderId="5" xfId="0" applyNumberFormat="1" applyFont="1" applyBorder="1"/>
    <xf numFmtId="10" fontId="74" fillId="2" borderId="6" xfId="1" applyNumberFormat="1" applyFont="1" applyFill="1" applyBorder="1" applyAlignment="1">
      <alignment horizontal="center" vertical="center"/>
    </xf>
    <xf numFmtId="10" fontId="75" fillId="0" borderId="10" xfId="2" applyNumberFormat="1" applyFont="1" applyFill="1" applyBorder="1" applyAlignment="1">
      <alignment horizontal="right" vertical="center"/>
    </xf>
    <xf numFmtId="10" fontId="76" fillId="5" borderId="10" xfId="3" applyNumberFormat="1" applyFont="1" applyBorder="1" applyAlignment="1">
      <alignment horizontal="right" vertical="center"/>
    </xf>
    <xf numFmtId="164" fontId="77" fillId="2" borderId="11" xfId="1" applyNumberFormat="1" applyFont="1" applyFill="1" applyBorder="1" applyAlignment="1">
      <alignment horizontal="right" vertical="center"/>
    </xf>
    <xf numFmtId="0" fontId="36" fillId="0" borderId="0" xfId="0" applyFont="1"/>
    <xf numFmtId="49" fontId="11" fillId="7" borderId="7" xfId="0" applyNumberFormat="1" applyFont="1" applyFill="1" applyBorder="1" applyAlignment="1">
      <alignment horizontal="center" vertical="center" wrapText="1"/>
    </xf>
    <xf numFmtId="49" fontId="12" fillId="7" borderId="7" xfId="0" applyNumberFormat="1" applyFont="1" applyFill="1" applyBorder="1" applyAlignment="1">
      <alignment horizontal="center" vertical="center" wrapText="1"/>
    </xf>
    <xf numFmtId="10" fontId="23" fillId="0" borderId="8" xfId="0" applyNumberFormat="1" applyFont="1" applyBorder="1"/>
    <xf numFmtId="10" fontId="41" fillId="5" borderId="6" xfId="1" applyNumberFormat="1" applyFont="1" applyFill="1" applyBorder="1" applyAlignment="1">
      <alignment horizontal="center" vertical="center"/>
    </xf>
    <xf numFmtId="164" fontId="74" fillId="2" borderId="6" xfId="1" applyNumberFormat="1" applyFont="1" applyFill="1" applyBorder="1" applyAlignment="1">
      <alignment horizontal="center" vertical="center"/>
    </xf>
    <xf numFmtId="10" fontId="23" fillId="0" borderId="0" xfId="0" applyNumberFormat="1" applyFont="1"/>
    <xf numFmtId="0" fontId="78" fillId="7" borderId="0" xfId="0" applyFont="1" applyFill="1"/>
    <xf numFmtId="10" fontId="23" fillId="11" borderId="5" xfId="0" applyNumberFormat="1" applyFont="1" applyFill="1" applyBorder="1"/>
    <xf numFmtId="49" fontId="34" fillId="0" borderId="0" xfId="2" applyNumberFormat="1" applyFont="1" applyFill="1" applyAlignment="1">
      <alignment horizontal="center" vertical="center" wrapText="1"/>
    </xf>
    <xf numFmtId="10" fontId="79" fillId="0" borderId="5" xfId="2" applyNumberFormat="1" applyFont="1" applyFill="1" applyBorder="1" applyAlignment="1" applyProtection="1">
      <alignment horizontal="center" vertical="center"/>
      <protection locked="0"/>
    </xf>
    <xf numFmtId="10" fontId="80" fillId="0" borderId="5" xfId="2" applyNumberFormat="1" applyFont="1" applyFill="1" applyBorder="1" applyAlignment="1" applyProtection="1">
      <alignment horizontal="center" vertical="center"/>
      <protection locked="0"/>
    </xf>
    <xf numFmtId="10" fontId="16" fillId="5" borderId="6" xfId="3" applyNumberFormat="1" applyFont="1" applyBorder="1" applyAlignment="1">
      <alignment horizontal="center" vertical="center"/>
    </xf>
    <xf numFmtId="10" fontId="43" fillId="2" borderId="6" xfId="2" applyNumberFormat="1" applyFont="1" applyBorder="1" applyAlignment="1">
      <alignment horizontal="center" vertical="center"/>
    </xf>
    <xf numFmtId="10" fontId="79" fillId="0" borderId="0" xfId="2" applyNumberFormat="1" applyFont="1" applyFill="1" applyAlignment="1" applyProtection="1">
      <alignment horizontal="center" vertical="center"/>
      <protection locked="0"/>
    </xf>
    <xf numFmtId="10" fontId="81" fillId="0" borderId="5" xfId="2" applyNumberFormat="1" applyFont="1" applyFill="1" applyBorder="1" applyAlignment="1">
      <alignment horizontal="right" vertical="center"/>
    </xf>
    <xf numFmtId="10" fontId="76" fillId="5" borderId="5" xfId="1" applyNumberFormat="1" applyFont="1" applyFill="1" applyBorder="1" applyAlignment="1">
      <alignment horizontal="right" vertical="center"/>
    </xf>
    <xf numFmtId="9" fontId="77" fillId="2" borderId="9" xfId="1" applyFont="1" applyFill="1" applyBorder="1" applyAlignment="1">
      <alignment horizontal="right" vertical="center"/>
    </xf>
    <xf numFmtId="0" fontId="22" fillId="0" borderId="5" xfId="0" applyFont="1" applyBorder="1"/>
    <xf numFmtId="0" fontId="23" fillId="9" borderId="5" xfId="0" applyFont="1" applyFill="1" applyBorder="1"/>
    <xf numFmtId="0" fontId="47" fillId="9" borderId="5" xfId="0" applyFont="1" applyFill="1" applyBorder="1"/>
    <xf numFmtId="0" fontId="23" fillId="0" borderId="5" xfId="0" applyFont="1" applyBorder="1"/>
    <xf numFmtId="0" fontId="47" fillId="0" borderId="5" xfId="0" applyFont="1" applyBorder="1"/>
    <xf numFmtId="0" fontId="47" fillId="0" borderId="0" xfId="0" applyFont="1"/>
    <xf numFmtId="10" fontId="49" fillId="0" borderId="5" xfId="6" applyNumberFormat="1" applyFont="1" applyFill="1" applyBorder="1" applyAlignment="1" applyProtection="1">
      <alignment horizontal="center" vertical="center"/>
      <protection locked="0"/>
    </xf>
    <xf numFmtId="9" fontId="52" fillId="0" borderId="5" xfId="6" applyNumberFormat="1" applyFont="1" applyFill="1" applyBorder="1" applyAlignment="1" applyProtection="1">
      <alignment horizontal="center" vertical="center"/>
      <protection locked="0"/>
    </xf>
    <xf numFmtId="10" fontId="52" fillId="0" borderId="5" xfId="5" applyNumberFormat="1" applyFont="1" applyFill="1" applyBorder="1" applyAlignment="1">
      <alignment horizontal="center" vertical="center"/>
    </xf>
    <xf numFmtId="9" fontId="52" fillId="0" borderId="5" xfId="5" applyNumberFormat="1" applyFont="1" applyFill="1" applyBorder="1" applyAlignment="1">
      <alignment horizontal="center" vertical="center"/>
    </xf>
    <xf numFmtId="10" fontId="44" fillId="0" borderId="5" xfId="5" applyNumberFormat="1" applyFont="1" applyFill="1" applyBorder="1" applyAlignment="1" applyProtection="1">
      <alignment horizontal="center" vertical="center"/>
      <protection locked="0"/>
    </xf>
    <xf numFmtId="2" fontId="44" fillId="0" borderId="54" xfId="9" applyNumberFormat="1" applyFont="1" applyFill="1" applyBorder="1" applyAlignment="1" applyProtection="1">
      <alignment horizontal="center" vertical="center"/>
      <protection locked="0"/>
    </xf>
    <xf numFmtId="0" fontId="33" fillId="7" borderId="0" xfId="0" applyFont="1" applyFill="1" applyAlignment="1">
      <alignment horizontal="left" vertical="center" wrapText="1"/>
    </xf>
    <xf numFmtId="9" fontId="43" fillId="7" borderId="0" xfId="5" applyNumberFormat="1" applyFont="1" applyFill="1" applyAlignment="1">
      <alignment horizontal="center" vertical="center" wrapText="1"/>
    </xf>
    <xf numFmtId="9" fontId="44" fillId="0" borderId="5" xfId="5" applyNumberFormat="1" applyFont="1" applyFill="1" applyBorder="1" applyAlignment="1" applyProtection="1">
      <alignment horizontal="center" vertical="center"/>
      <protection locked="0"/>
    </xf>
    <xf numFmtId="0" fontId="44" fillId="0" borderId="5" xfId="8" applyNumberFormat="1" applyFont="1" applyBorder="1" applyAlignment="1" applyProtection="1">
      <alignment horizontal="center" vertical="center"/>
      <protection locked="0"/>
    </xf>
    <xf numFmtId="10" fontId="52" fillId="0" borderId="5" xfId="5" applyNumberFormat="1" applyFont="1" applyFill="1" applyBorder="1" applyAlignment="1" applyProtection="1">
      <alignment horizontal="center" vertical="center"/>
      <protection locked="0"/>
    </xf>
    <xf numFmtId="0" fontId="82" fillId="0" borderId="0" xfId="4" applyFont="1" applyFill="1" applyAlignment="1">
      <alignment horizontal="center" vertical="center"/>
    </xf>
    <xf numFmtId="0" fontId="31" fillId="10" borderId="0" xfId="0" applyFont="1" applyFill="1" applyAlignment="1">
      <alignment horizontal="center"/>
    </xf>
    <xf numFmtId="0" fontId="65" fillId="2" borderId="55" xfId="5" applyFont="1" applyBorder="1" applyAlignment="1">
      <alignment horizontal="center" vertical="center" wrapText="1"/>
    </xf>
    <xf numFmtId="0" fontId="65" fillId="2" borderId="20" xfId="5" applyFont="1" applyBorder="1" applyAlignment="1">
      <alignment horizontal="center" vertical="center" wrapText="1"/>
    </xf>
    <xf numFmtId="0" fontId="65" fillId="2" borderId="22" xfId="5" applyFont="1" applyBorder="1" applyAlignment="1">
      <alignment horizontal="center" vertical="center"/>
    </xf>
    <xf numFmtId="0" fontId="65" fillId="2" borderId="20" xfId="5" applyFont="1" applyBorder="1" applyAlignment="1">
      <alignment horizontal="center" vertical="center"/>
    </xf>
    <xf numFmtId="0" fontId="20" fillId="0" borderId="22" xfId="0" applyFont="1" applyBorder="1" applyAlignment="1">
      <alignment horizontal="center" wrapText="1"/>
    </xf>
    <xf numFmtId="0" fontId="20" fillId="0" borderId="21" xfId="0" applyFont="1" applyBorder="1" applyAlignment="1">
      <alignment horizontal="center" wrapText="1"/>
    </xf>
    <xf numFmtId="0" fontId="20" fillId="0" borderId="20" xfId="0" applyFont="1" applyBorder="1" applyAlignment="1">
      <alignment horizontal="center" wrapText="1"/>
    </xf>
    <xf numFmtId="0" fontId="11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34" fillId="2" borderId="22" xfId="5" applyFont="1" applyBorder="1" applyAlignment="1">
      <alignment horizontal="center"/>
    </xf>
    <xf numFmtId="0" fontId="34" fillId="2" borderId="20" xfId="5" applyFont="1" applyBorder="1" applyAlignment="1">
      <alignment horizontal="center"/>
    </xf>
    <xf numFmtId="0" fontId="21" fillId="0" borderId="22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65" fillId="2" borderId="6" xfId="5" applyFont="1" applyBorder="1" applyAlignment="1">
      <alignment horizontal="center" vertical="center"/>
    </xf>
    <xf numFmtId="0" fontId="22" fillId="0" borderId="20" xfId="0" applyFont="1" applyBorder="1"/>
    <xf numFmtId="0" fontId="20" fillId="0" borderId="6" xfId="0" applyFont="1" applyBorder="1" applyAlignment="1">
      <alignment horizontal="center" wrapText="1"/>
    </xf>
    <xf numFmtId="0" fontId="22" fillId="0" borderId="21" xfId="0" applyFont="1" applyBorder="1"/>
    <xf numFmtId="0" fontId="11" fillId="0" borderId="6" xfId="0" applyFont="1" applyBorder="1" applyAlignment="1">
      <alignment horizontal="center"/>
    </xf>
    <xf numFmtId="0" fontId="21" fillId="0" borderId="6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65" fillId="2" borderId="18" xfId="5" applyFont="1" applyBorder="1" applyAlignment="1">
      <alignment horizontal="center" vertical="center" wrapText="1"/>
    </xf>
    <xf numFmtId="0" fontId="22" fillId="0" borderId="19" xfId="0" applyFont="1" applyBorder="1"/>
    <xf numFmtId="0" fontId="47" fillId="0" borderId="6" xfId="0" applyFont="1" applyBorder="1" applyAlignment="1">
      <alignment horizontal="center"/>
    </xf>
    <xf numFmtId="0" fontId="34" fillId="2" borderId="6" xfId="5" applyFont="1" applyBorder="1" applyAlignment="1">
      <alignment horizontal="center"/>
    </xf>
    <xf numFmtId="0" fontId="38" fillId="0" borderId="6" xfId="0" applyFont="1" applyBorder="1" applyAlignment="1">
      <alignment horizontal="center" vertical="center" wrapText="1"/>
    </xf>
    <xf numFmtId="0" fontId="47" fillId="0" borderId="6" xfId="0" applyFont="1" applyBorder="1" applyAlignment="1">
      <alignment horizontal="center" vertical="center" wrapText="1"/>
    </xf>
    <xf numFmtId="0" fontId="47" fillId="0" borderId="26" xfId="0" applyFont="1" applyBorder="1" applyAlignment="1">
      <alignment horizontal="center" vertical="center" wrapText="1"/>
    </xf>
    <xf numFmtId="0" fontId="22" fillId="0" borderId="26" xfId="0" applyFont="1" applyBorder="1"/>
    <xf numFmtId="0" fontId="22" fillId="0" borderId="0" xfId="0" applyFont="1"/>
    <xf numFmtId="0" fontId="38" fillId="0" borderId="56" xfId="0" applyFont="1" applyBorder="1" applyAlignment="1">
      <alignment horizontal="center" vertical="center"/>
    </xf>
    <xf numFmtId="0" fontId="22" fillId="0" borderId="24" xfId="0" applyFont="1" applyBorder="1"/>
    <xf numFmtId="0" fontId="22" fillId="0" borderId="25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29" xfId="0" applyFont="1" applyBorder="1"/>
    <xf numFmtId="0" fontId="70" fillId="0" borderId="6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/>
    </xf>
    <xf numFmtId="0" fontId="57" fillId="0" borderId="6" xfId="0" applyFont="1" applyBorder="1" applyAlignment="1">
      <alignment horizontal="center"/>
    </xf>
    <xf numFmtId="0" fontId="70" fillId="0" borderId="2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70" fillId="0" borderId="6" xfId="5" applyFont="1" applyFill="1" applyBorder="1" applyAlignment="1">
      <alignment horizontal="center"/>
    </xf>
    <xf numFmtId="0" fontId="20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/>
    </xf>
    <xf numFmtId="0" fontId="31" fillId="10" borderId="0" xfId="4" applyFont="1" applyFill="1" applyAlignment="1">
      <alignment horizontal="center" vertical="center"/>
    </xf>
    <xf numFmtId="0" fontId="63" fillId="2" borderId="31" xfId="5" applyFont="1" applyBorder="1" applyAlignment="1">
      <alignment horizontal="center" vertical="center" wrapText="1"/>
    </xf>
    <xf numFmtId="0" fontId="22" fillId="0" borderId="32" xfId="0" applyFont="1" applyBorder="1"/>
    <xf numFmtId="0" fontId="22" fillId="0" borderId="36" xfId="0" applyFont="1" applyBorder="1"/>
    <xf numFmtId="0" fontId="22" fillId="0" borderId="37" xfId="0" applyFont="1" applyBorder="1"/>
    <xf numFmtId="0" fontId="63" fillId="2" borderId="33" xfId="5" applyFont="1" applyBorder="1" applyAlignment="1">
      <alignment horizontal="center" vertical="center" wrapText="1"/>
    </xf>
    <xf numFmtId="0" fontId="22" fillId="0" borderId="38" xfId="0" applyFont="1" applyBorder="1"/>
    <xf numFmtId="0" fontId="22" fillId="0" borderId="39" xfId="0" applyFont="1" applyBorder="1"/>
    <xf numFmtId="0" fontId="72" fillId="5" borderId="34" xfId="7" applyFont="1" applyBorder="1" applyAlignment="1">
      <alignment horizontal="center" vertical="center"/>
    </xf>
    <xf numFmtId="0" fontId="22" fillId="0" borderId="35" xfId="0" applyFont="1" applyBorder="1"/>
    <xf numFmtId="0" fontId="22" fillId="0" borderId="40" xfId="0" applyFont="1" applyBorder="1"/>
    <xf numFmtId="0" fontId="22" fillId="0" borderId="41" xfId="0" applyFont="1" applyBorder="1"/>
    <xf numFmtId="0" fontId="72" fillId="0" borderId="18" xfId="0" applyFont="1" applyBorder="1" applyAlignment="1">
      <alignment horizontal="center" vertical="center" wrapText="1"/>
    </xf>
    <xf numFmtId="0" fontId="63" fillId="2" borderId="10" xfId="5" applyFont="1" applyBorder="1" applyAlignment="1">
      <alignment horizontal="center" vertical="center" wrapText="1"/>
    </xf>
    <xf numFmtId="0" fontId="22" fillId="0" borderId="42" xfId="0" applyFont="1" applyBorder="1"/>
    <xf numFmtId="0" fontId="21" fillId="0" borderId="18" xfId="0" applyFont="1" applyBorder="1" applyAlignment="1">
      <alignment horizontal="center" vertical="center" wrapText="1"/>
    </xf>
    <xf numFmtId="10" fontId="72" fillId="5" borderId="33" xfId="7" applyNumberFormat="1" applyFont="1" applyBorder="1" applyAlignment="1">
      <alignment horizontal="center" vertical="center"/>
    </xf>
    <xf numFmtId="0" fontId="22" fillId="0" borderId="44" xfId="0" applyFont="1" applyBorder="1"/>
    <xf numFmtId="9" fontId="65" fillId="2" borderId="33" xfId="5" applyNumberFormat="1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0" borderId="43" xfId="0" applyFont="1" applyBorder="1" applyAlignment="1">
      <alignment horizontal="center" vertical="center" wrapText="1"/>
    </xf>
    <xf numFmtId="9" fontId="63" fillId="2" borderId="33" xfId="5" applyNumberFormat="1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0" fontId="73" fillId="0" borderId="6" xfId="5" applyFont="1" applyFill="1" applyBorder="1" applyAlignment="1">
      <alignment horizontal="center" vertical="center" wrapText="1"/>
    </xf>
    <xf numFmtId="0" fontId="7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5" applyFont="1" applyFill="1" applyAlignment="1">
      <alignment horizontal="center" vertical="center"/>
    </xf>
    <xf numFmtId="0" fontId="22" fillId="0" borderId="20" xfId="0" applyFont="1" applyBorder="1" applyAlignment="1">
      <alignment horizontal="center" vertical="center" wrapText="1"/>
    </xf>
    <xf numFmtId="0" fontId="73" fillId="0" borderId="6" xfId="5" applyFont="1" applyFill="1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21" fillId="0" borderId="45" xfId="0" applyFont="1" applyBorder="1" applyAlignment="1">
      <alignment horizontal="center" vertical="center" wrapText="1"/>
    </xf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49" xfId="0" applyFont="1" applyBorder="1"/>
    <xf numFmtId="0" fontId="22" fillId="0" borderId="50" xfId="0" applyFont="1" applyBorder="1"/>
    <xf numFmtId="0" fontId="22" fillId="0" borderId="51" xfId="0" applyFont="1" applyBorder="1"/>
    <xf numFmtId="0" fontId="22" fillId="0" borderId="52" xfId="0" applyFont="1" applyBorder="1"/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5" fillId="0" borderId="0" xfId="5" applyFont="1" applyFill="1" applyAlignment="1">
      <alignment horizontal="center" vertical="center"/>
    </xf>
    <xf numFmtId="0" fontId="47" fillId="2" borderId="31" xfId="5" applyFont="1" applyBorder="1" applyAlignment="1">
      <alignment horizontal="center" vertical="center" wrapText="1"/>
    </xf>
    <xf numFmtId="0" fontId="47" fillId="2" borderId="33" xfId="5" applyFont="1" applyBorder="1" applyAlignment="1">
      <alignment horizontal="center" vertical="center" wrapText="1"/>
    </xf>
    <xf numFmtId="0" fontId="47" fillId="2" borderId="10" xfId="5" applyFont="1" applyBorder="1" applyAlignment="1">
      <alignment horizontal="center" vertical="center" wrapText="1"/>
    </xf>
    <xf numFmtId="9" fontId="47" fillId="2" borderId="33" xfId="8" applyFont="1" applyFill="1" applyBorder="1" applyAlignment="1">
      <alignment horizontal="center" vertical="center" wrapText="1"/>
    </xf>
    <xf numFmtId="0" fontId="38" fillId="2" borderId="6" xfId="5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0" fillId="0" borderId="21" xfId="0" applyBorder="1"/>
    <xf numFmtId="0" fontId="0" fillId="0" borderId="20" xfId="0" applyBorder="1"/>
    <xf numFmtId="0" fontId="4" fillId="0" borderId="30" xfId="0" applyFont="1" applyBorder="1" applyAlignment="1">
      <alignment horizontal="center" vertical="center"/>
    </xf>
    <xf numFmtId="0" fontId="0" fillId="0" borderId="26" xfId="0" applyBorder="1"/>
    <xf numFmtId="0" fontId="4" fillId="0" borderId="6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0" fillId="0" borderId="19" xfId="0" applyBorder="1"/>
    <xf numFmtId="0" fontId="17" fillId="2" borderId="18" xfId="5" applyFont="1" applyBorder="1" applyAlignment="1">
      <alignment horizontal="center" vertical="center" wrapText="1"/>
    </xf>
    <xf numFmtId="0" fontId="8" fillId="2" borderId="33" xfId="5" applyBorder="1" applyAlignment="1">
      <alignment horizontal="center" vertical="center" wrapText="1"/>
    </xf>
    <xf numFmtId="0" fontId="0" fillId="0" borderId="32" xfId="0" applyBorder="1"/>
    <xf numFmtId="0" fontId="0" fillId="0" borderId="38" xfId="0" applyBorder="1"/>
    <xf numFmtId="0" fontId="0" fillId="0" borderId="39" xfId="0" applyBorder="1"/>
    <xf numFmtId="0" fontId="25" fillId="5" borderId="34" xfId="7" applyFont="1" applyBorder="1" applyAlignment="1">
      <alignment horizontal="center" vertical="center"/>
    </xf>
    <xf numFmtId="0" fontId="0" fillId="0" borderId="35" xfId="0" applyBorder="1"/>
    <xf numFmtId="0" fontId="0" fillId="0" borderId="40" xfId="0" applyBorder="1"/>
    <xf numFmtId="0" fontId="0" fillId="0" borderId="41" xfId="0" applyBorder="1"/>
    <xf numFmtId="0" fontId="17" fillId="2" borderId="6" xfId="5" applyFont="1" applyBorder="1" applyAlignment="1">
      <alignment horizontal="center" vertical="center"/>
    </xf>
    <xf numFmtId="0" fontId="0" fillId="0" borderId="27" xfId="0" applyBorder="1"/>
    <xf numFmtId="0" fontId="0" fillId="0" borderId="29" xfId="0" applyBorder="1"/>
    <xf numFmtId="0" fontId="4" fillId="0" borderId="22" xfId="0" applyFont="1" applyBorder="1" applyAlignment="1">
      <alignment horizontal="center" vertical="center" wrapText="1"/>
    </xf>
    <xf numFmtId="0" fontId="0" fillId="0" borderId="28" xfId="0" applyBorder="1"/>
    <xf numFmtId="0" fontId="8" fillId="2" borderId="31" xfId="5" applyBorder="1" applyAlignment="1">
      <alignment horizontal="center" vertical="center" wrapText="1"/>
    </xf>
    <xf numFmtId="0" fontId="0" fillId="0" borderId="36" xfId="0" applyBorder="1"/>
    <xf numFmtId="0" fontId="0" fillId="0" borderId="37" xfId="0" applyBorder="1"/>
    <xf numFmtId="0" fontId="8" fillId="2" borderId="10" xfId="5" applyBorder="1" applyAlignment="1">
      <alignment horizontal="center" vertical="center" wrapText="1"/>
    </xf>
    <xf numFmtId="0" fontId="0" fillId="0" borderId="42" xfId="0" applyBorder="1"/>
    <xf numFmtId="0" fontId="4" fillId="0" borderId="18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0" fillId="0" borderId="44" xfId="0" applyBorder="1"/>
    <xf numFmtId="9" fontId="8" fillId="2" borderId="33" xfId="5" applyNumberFormat="1" applyBorder="1" applyAlignment="1">
      <alignment horizontal="center" vertical="center" wrapText="1"/>
    </xf>
    <xf numFmtId="9" fontId="8" fillId="2" borderId="33" xfId="8" applyFont="1" applyFill="1" applyBorder="1" applyAlignment="1">
      <alignment horizontal="center" vertical="center" wrapText="1"/>
    </xf>
    <xf numFmtId="10" fontId="25" fillId="5" borderId="33" xfId="7" applyNumberFormat="1" applyFont="1" applyBorder="1" applyAlignment="1">
      <alignment horizontal="center" vertical="center"/>
    </xf>
    <xf numFmtId="9" fontId="17" fillId="2" borderId="33" xfId="5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0" borderId="0" xfId="0"/>
    <xf numFmtId="0" fontId="2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45" xfId="0" applyFont="1" applyBorder="1" applyAlignment="1">
      <alignment horizontal="center" vertical="center" wrapText="1"/>
    </xf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5" fillId="0" borderId="2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28" fillId="0" borderId="6" xfId="5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6" fillId="0" borderId="0" xfId="5" applyFont="1" applyFill="1" applyAlignment="1">
      <alignment horizontal="center" vertical="center"/>
    </xf>
    <xf numFmtId="0" fontId="28" fillId="0" borderId="6" xfId="5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0" xfId="5" applyFont="1" applyFill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69" fillId="0" borderId="6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69" fillId="0" borderId="6" xfId="0" applyFont="1" applyBorder="1" applyAlignment="1">
      <alignment horizontal="center" vertical="center" wrapText="1"/>
    </xf>
    <xf numFmtId="0" fontId="0" fillId="0" borderId="25" xfId="0" applyBorder="1"/>
    <xf numFmtId="0" fontId="0" fillId="0" borderId="24" xfId="0" applyBorder="1"/>
    <xf numFmtId="0" fontId="19" fillId="0" borderId="6" xfId="5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83" fillId="0" borderId="0" xfId="0" applyFont="1" applyAlignment="1">
      <alignment horizontal="left" vertical="top" wrapText="1"/>
    </xf>
  </cellXfs>
  <cellStyles count="11">
    <cellStyle name="60% - Accent5 2" xfId="4" xr:uid="{1C39F375-120B-405E-8F87-68F85196889C}"/>
    <cellStyle name="Bad 2" xfId="6" xr:uid="{97582E64-5CCF-4666-87CC-4EA31F3C47FB}"/>
    <cellStyle name="Calculation" xfId="3" builtinId="22"/>
    <cellStyle name="Calculation 2" xfId="7" xr:uid="{0F5E2213-9AE4-4881-B297-D3344E5DE354}"/>
    <cellStyle name="Comma 2" xfId="10" xr:uid="{F5FEBE06-8A95-4142-A57A-37E47084901B}"/>
    <cellStyle name="Good" xfId="2" builtinId="26"/>
    <cellStyle name="Good 2" xfId="5" xr:uid="{8333CFD2-5449-4E25-8D86-0FC68ACCDE8A}"/>
    <cellStyle name="Neutral 2" xfId="9" xr:uid="{6D6B7B94-C8A2-4372-A0DE-EEEB8CC689FF}"/>
    <cellStyle name="Normal" xfId="0" builtinId="0"/>
    <cellStyle name="Per cent" xfId="1" builtinId="5"/>
    <cellStyle name="Per cent 2" xfId="8" xr:uid="{F493A59C-B69D-408F-A019-ADBD826B14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Fluctuatia angajatilor</a:t>
            </a:r>
            <a:endParaRPr lang="ro-RO" sz="1000" b="1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769200440856321E-2"/>
          <c:y val="0.15316064383960901"/>
          <c:w val="0.96430706886405992"/>
          <c:h val="0.73103288159708069"/>
        </c:manualLayout>
      </c:layout>
      <c:lineChart>
        <c:grouping val="standard"/>
        <c:varyColors val="0"/>
        <c:ser>
          <c:idx val="0"/>
          <c:order val="0"/>
          <c:tx>
            <c:strRef>
              <c:f>'[1]Personal 2024'!$A$9</c:f>
              <c:strCache>
                <c:ptCount val="1"/>
                <c:pt idx="0">
                  <c:v> I 1 = Mitarbeiterfluktuation (Fahrer, weitere Mitarbeiterkategorien)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'[1]Personal 2024'!$B$8:$M$8</c:f>
              <c:strCache>
                <c:ptCount val="12"/>
                <c:pt idx="0">
                  <c:v>Januar</c:v>
                </c:pt>
                <c:pt idx="1">
                  <c:v>Februar </c:v>
                </c:pt>
                <c:pt idx="2">
                  <c:v>März </c:v>
                </c:pt>
                <c:pt idx="3">
                  <c:v>April </c:v>
                </c:pt>
                <c:pt idx="4">
                  <c:v>Mai </c:v>
                </c:pt>
                <c:pt idx="5">
                  <c:v>Juni </c:v>
                </c:pt>
                <c:pt idx="6">
                  <c:v>Juli </c:v>
                </c:pt>
                <c:pt idx="7">
                  <c:v>August </c:v>
                </c:pt>
                <c:pt idx="8">
                  <c:v>September </c:v>
                </c:pt>
                <c:pt idx="9">
                  <c:v>Oktober </c:v>
                </c:pt>
                <c:pt idx="10">
                  <c:v>November </c:v>
                </c:pt>
                <c:pt idx="11">
                  <c:v>Dezember </c:v>
                </c:pt>
              </c:strCache>
            </c:strRef>
          </c:cat>
          <c:val>
            <c:numRef>
              <c:f>'[1]Personal 2024'!$B$9:$M$9</c:f>
              <c:numCache>
                <c:formatCode>General</c:formatCode>
                <c:ptCount val="12"/>
                <c:pt idx="0">
                  <c:v>4.0178571428571432E-2</c:v>
                </c:pt>
                <c:pt idx="1">
                  <c:v>4.7413793103448273E-2</c:v>
                </c:pt>
                <c:pt idx="2">
                  <c:v>4.3290043290043288E-2</c:v>
                </c:pt>
                <c:pt idx="3">
                  <c:v>9.417040358744394E-2</c:v>
                </c:pt>
                <c:pt idx="4">
                  <c:v>4.3478260869565216E-2</c:v>
                </c:pt>
                <c:pt idx="5">
                  <c:v>5.8035714285714288E-2</c:v>
                </c:pt>
                <c:pt idx="6">
                  <c:v>7.3394495412844041E-2</c:v>
                </c:pt>
                <c:pt idx="7">
                  <c:v>7.0754716981132074E-2</c:v>
                </c:pt>
                <c:pt idx="8">
                  <c:v>6.5420560747663545E-2</c:v>
                </c:pt>
                <c:pt idx="9">
                  <c:v>3.6363636363636362E-2</c:v>
                </c:pt>
                <c:pt idx="10">
                  <c:v>5.9907834101382486E-2</c:v>
                </c:pt>
                <c:pt idx="11">
                  <c:v>5.1162790697674418E-2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DD-466B-A262-954729B34EC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8584896"/>
        <c:axId val="218593952"/>
      </c:lineChart>
      <c:catAx>
        <c:axId val="218584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8593952"/>
        <c:crosses val="autoZero"/>
        <c:auto val="1"/>
        <c:lblAlgn val="ctr"/>
        <c:lblOffset val="100"/>
        <c:noMultiLvlLbl val="0"/>
      </c:catAx>
      <c:valAx>
        <c:axId val="21859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5848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Stabilitatea</a:t>
            </a:r>
            <a:r>
              <a:rPr lang="en-US" sz="1000" b="1" baseline="0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angajatilor</a:t>
            </a:r>
            <a:endParaRPr lang="ro-RO" sz="1000" b="1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1.422116003490469E-2"/>
          <c:y val="0.1718953972856091"/>
          <c:w val="0.97746987698960286"/>
          <c:h val="0.7321745424750935"/>
        </c:manualLayout>
      </c:layout>
      <c:lineChart>
        <c:grouping val="standard"/>
        <c:varyColors val="0"/>
        <c:ser>
          <c:idx val="0"/>
          <c:order val="0"/>
          <c:tx>
            <c:strRef>
              <c:f>'[1]Personal 2024'!$A$10</c:f>
              <c:strCache>
                <c:ptCount val="1"/>
                <c:pt idx="0">
                  <c:v>I 2 = Mitarbeiterstabilität im Unternehmen (Anzahl der Mitarbeiter mit mehr als einem Jahr Betriebszugehörigkeit, die ihren individuellen Arbeitsvertrag beendet haben)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'[1]Personal 2024'!$B$8:$M$8</c:f>
              <c:strCache>
                <c:ptCount val="12"/>
                <c:pt idx="0">
                  <c:v>Januar</c:v>
                </c:pt>
                <c:pt idx="1">
                  <c:v>Februar </c:v>
                </c:pt>
                <c:pt idx="2">
                  <c:v>März </c:v>
                </c:pt>
                <c:pt idx="3">
                  <c:v>April </c:v>
                </c:pt>
                <c:pt idx="4">
                  <c:v>Mai </c:v>
                </c:pt>
                <c:pt idx="5">
                  <c:v>Juni </c:v>
                </c:pt>
                <c:pt idx="6">
                  <c:v>Juli </c:v>
                </c:pt>
                <c:pt idx="7">
                  <c:v>August </c:v>
                </c:pt>
                <c:pt idx="8">
                  <c:v>September </c:v>
                </c:pt>
                <c:pt idx="9">
                  <c:v>Oktober </c:v>
                </c:pt>
                <c:pt idx="10">
                  <c:v>November </c:v>
                </c:pt>
                <c:pt idx="11">
                  <c:v>Dezember </c:v>
                </c:pt>
              </c:strCache>
            </c:strRef>
          </c:cat>
          <c:val>
            <c:numRef>
              <c:f>'[1]Personal 2024'!$B$10:$M$10</c:f>
              <c:numCache>
                <c:formatCode>General</c:formatCode>
                <c:ptCount val="12"/>
                <c:pt idx="0">
                  <c:v>1.3392857142857142E-2</c:v>
                </c:pt>
                <c:pt idx="1">
                  <c:v>1.7241379310344827E-2</c:v>
                </c:pt>
                <c:pt idx="2">
                  <c:v>1.7316017316017316E-2</c:v>
                </c:pt>
                <c:pt idx="3">
                  <c:v>2.2421524663677129E-2</c:v>
                </c:pt>
                <c:pt idx="4">
                  <c:v>4.3478260869565218E-3</c:v>
                </c:pt>
                <c:pt idx="5">
                  <c:v>1.3392857142857142E-2</c:v>
                </c:pt>
                <c:pt idx="6">
                  <c:v>1.834862385321101E-2</c:v>
                </c:pt>
                <c:pt idx="7">
                  <c:v>9.433962264150943E-3</c:v>
                </c:pt>
                <c:pt idx="8">
                  <c:v>2.8037383177570093E-2</c:v>
                </c:pt>
                <c:pt idx="9">
                  <c:v>1.8181818181818181E-2</c:v>
                </c:pt>
                <c:pt idx="10">
                  <c:v>2.3041474654377881E-2</c:v>
                </c:pt>
                <c:pt idx="11">
                  <c:v>1.8604651162790697E-2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6C-4A1D-8086-4B77C4E8C37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8040760"/>
        <c:axId val="218331304"/>
      </c:lineChart>
      <c:catAx>
        <c:axId val="218040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1" i="0" strike="noStrike" kern="120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8331304"/>
        <c:crosses val="autoZero"/>
        <c:auto val="1"/>
        <c:lblAlgn val="ctr"/>
        <c:lblOffset val="100"/>
        <c:noMultiLvlLbl val="0"/>
      </c:catAx>
      <c:valAx>
        <c:axId val="218331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0407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strike="noStrike" kern="1200" spc="0" baseline="0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ro-RO" sz="1000" b="1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Numarul posturilor vacante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1.9378304875134089E-2"/>
          <c:y val="0.1369755128634958"/>
          <c:w val="0.97490896365053437"/>
          <c:h val="0.74277215133822105"/>
        </c:manualLayout>
      </c:layout>
      <c:lineChart>
        <c:grouping val="standard"/>
        <c:varyColors val="0"/>
        <c:ser>
          <c:idx val="0"/>
          <c:order val="0"/>
          <c:tx>
            <c:strRef>
              <c:f>'[1]Personal 2024'!$A$12</c:f>
              <c:strCache>
                <c:ptCount val="1"/>
                <c:pt idx="0">
                  <c:v>I 4 = Anteil unbesetzter Stellen (Fahrer, weitere Mitarbeiterkategorien)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rgbClr val="C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</c:spPr>
            <c:trendlineType val="linear"/>
            <c:dispRSqr val="0"/>
            <c:dispEq val="0"/>
          </c:trendline>
          <c:cat>
            <c:strRef>
              <c:f>'[1]Personal 2024'!$B$8:$M$8</c:f>
              <c:strCache>
                <c:ptCount val="12"/>
                <c:pt idx="0">
                  <c:v>Januar</c:v>
                </c:pt>
                <c:pt idx="1">
                  <c:v>Februar </c:v>
                </c:pt>
                <c:pt idx="2">
                  <c:v>März </c:v>
                </c:pt>
                <c:pt idx="3">
                  <c:v>April </c:v>
                </c:pt>
                <c:pt idx="4">
                  <c:v>Mai </c:v>
                </c:pt>
                <c:pt idx="5">
                  <c:v>Juni </c:v>
                </c:pt>
                <c:pt idx="6">
                  <c:v>Juli </c:v>
                </c:pt>
                <c:pt idx="7">
                  <c:v>August </c:v>
                </c:pt>
                <c:pt idx="8">
                  <c:v>September </c:v>
                </c:pt>
                <c:pt idx="9">
                  <c:v>Oktober </c:v>
                </c:pt>
                <c:pt idx="10">
                  <c:v>November </c:v>
                </c:pt>
                <c:pt idx="11">
                  <c:v>Dezember </c:v>
                </c:pt>
              </c:strCache>
            </c:strRef>
          </c:cat>
          <c:val>
            <c:numRef>
              <c:f>'[1]Personal 2024'!$B$12:$M$12</c:f>
              <c:numCache>
                <c:formatCode>General</c:formatCode>
                <c:ptCount val="12"/>
                <c:pt idx="0">
                  <c:v>6.2761506276150625E-2</c:v>
                </c:pt>
                <c:pt idx="1">
                  <c:v>7.5697211155378488E-2</c:v>
                </c:pt>
                <c:pt idx="2">
                  <c:v>3.7499999999999999E-2</c:v>
                </c:pt>
                <c:pt idx="3">
                  <c:v>5.9071729957805907E-2</c:v>
                </c:pt>
                <c:pt idx="4">
                  <c:v>4.9586776859504134E-2</c:v>
                </c:pt>
                <c:pt idx="5">
                  <c:v>5.0847457627118647E-2</c:v>
                </c:pt>
                <c:pt idx="6">
                  <c:v>4.3859649122807015E-2</c:v>
                </c:pt>
                <c:pt idx="7">
                  <c:v>4.072398190045249E-2</c:v>
                </c:pt>
                <c:pt idx="8">
                  <c:v>5.7268722466960353E-2</c:v>
                </c:pt>
                <c:pt idx="9">
                  <c:v>7.5630252100840331E-2</c:v>
                </c:pt>
                <c:pt idx="10">
                  <c:v>4.405286343612335E-2</c:v>
                </c:pt>
                <c:pt idx="11">
                  <c:v>3.1531531531531529E-2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21-4D8F-A2EA-EDC0EB3D6E8F}"/>
            </c:ext>
          </c:extLst>
        </c:ser>
        <c:ser>
          <c:idx val="1"/>
          <c:order val="1"/>
          <c:spPr>
            <a:ln w="28575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'[1]Personal 2024'!$B$8:$M$8</c:f>
              <c:strCache>
                <c:ptCount val="12"/>
                <c:pt idx="0">
                  <c:v>Januar</c:v>
                </c:pt>
                <c:pt idx="1">
                  <c:v>Februar </c:v>
                </c:pt>
                <c:pt idx="2">
                  <c:v>März </c:v>
                </c:pt>
                <c:pt idx="3">
                  <c:v>April </c:v>
                </c:pt>
                <c:pt idx="4">
                  <c:v>Mai </c:v>
                </c:pt>
                <c:pt idx="5">
                  <c:v>Juni </c:v>
                </c:pt>
                <c:pt idx="6">
                  <c:v>Juli </c:v>
                </c:pt>
                <c:pt idx="7">
                  <c:v>August </c:v>
                </c:pt>
                <c:pt idx="8">
                  <c:v>September </c:v>
                </c:pt>
                <c:pt idx="9">
                  <c:v>Oktober </c:v>
                </c:pt>
                <c:pt idx="10">
                  <c:v>November </c:v>
                </c:pt>
                <c:pt idx="11">
                  <c:v>Dezember </c:v>
                </c:pt>
              </c:strCache>
            </c:strRef>
          </c:cat>
          <c:val>
            <c:numRef>
              <c:f>'[2]Resurse Umane 2024'!$B$12:$M$12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21-4D8F-A2EA-EDC0EB3D6E8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9308848"/>
        <c:axId val="219720856"/>
      </c:lineChart>
      <c:catAx>
        <c:axId val="21930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1" i="0" strike="noStrike" kern="120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9720856"/>
        <c:crosses val="autoZero"/>
        <c:auto val="1"/>
        <c:lblAlgn val="ctr"/>
        <c:lblOffset val="100"/>
        <c:noMultiLvlLbl val="0"/>
      </c:catAx>
      <c:valAx>
        <c:axId val="219720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3088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ETA</a:t>
            </a:r>
            <a:r>
              <a:rPr lang="en-US" b="1" baseline="0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neintrodusa in sistemul WMS</a:t>
            </a:r>
            <a:endParaRPr lang="ro-RO" b="1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rgbClr val="C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ro-R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o-RO"/>
                </a:p>
              </c:txPr>
            </c:trendlineLbl>
          </c:trendline>
          <c:cat>
            <c:numRef>
              <c:f>[3]Operational!$B$5:$M$5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Operational!#REF!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7-4575-865F-CB804090010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8394600"/>
        <c:axId val="218394992"/>
      </c:lineChart>
      <c:catAx>
        <c:axId val="218394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ro-RO"/>
          </a:p>
        </c:txPr>
        <c:crossAx val="218394992"/>
        <c:crosses val="autoZero"/>
        <c:auto val="1"/>
        <c:lblAlgn val="ctr"/>
        <c:lblOffset val="100"/>
        <c:noMultiLvlLbl val="1"/>
      </c:catAx>
      <c:valAx>
        <c:axId val="218394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2183946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588169</xdr:colOff>
      <xdr:row>16</xdr:row>
      <xdr:rowOff>109537</xdr:rowOff>
    </xdr:from>
    <xdr:to>
      <xdr:col>54</xdr:col>
      <xdr:colOff>378219</xdr:colOff>
      <xdr:row>24</xdr:row>
      <xdr:rowOff>123624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57FEAF-1E22-44F5-A681-798611096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547688</xdr:colOff>
      <xdr:row>27</xdr:row>
      <xdr:rowOff>95250</xdr:rowOff>
    </xdr:from>
    <xdr:to>
      <xdr:col>54</xdr:col>
      <xdr:colOff>452438</xdr:colOff>
      <xdr:row>38</xdr:row>
      <xdr:rowOff>27317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26FB94-8753-4D4A-86B4-21FD892637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535781</xdr:colOff>
      <xdr:row>39</xdr:row>
      <xdr:rowOff>11906</xdr:rowOff>
    </xdr:from>
    <xdr:to>
      <xdr:col>53</xdr:col>
      <xdr:colOff>440530</xdr:colOff>
      <xdr:row>51</xdr:row>
      <xdr:rowOff>122844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F5B7DB-0399-47B5-B815-2CA007A652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112681</xdr:colOff>
      <xdr:row>51</xdr:row>
      <xdr:rowOff>74018</xdr:rowOff>
    </xdr:from>
    <xdr:to>
      <xdr:col>15</xdr:col>
      <xdr:colOff>46590</xdr:colOff>
      <xdr:row>65</xdr:row>
      <xdr:rowOff>95790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7BC938-1C74-4C7A-9408-6AC5CBD76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einbeisconsulting.sharepoint.com/sites/SCMA/Server/01%20-%20Projekte/Laufende%20Projekte/10347%20-%20VIO%20Transport%20(VVO)%20-%20MH%20-%20BA/Situationsanalyse/02.%20Company%20General/III%20-%20Leistungsindikatoren%202024%20Deutsch.xlsx" TargetMode="External"/><Relationship Id="rId1" Type="http://schemas.openxmlformats.org/officeDocument/2006/relationships/externalLinkPath" Target="III%20-%20Leistungsindikatoren%202024%20Deutsc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surse%20Umane%20202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Operationa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sonal 2024"/>
      <sheetName val="Sicherheit (Flotte &amp; TAPA)"/>
      <sheetName val="Operativ"/>
      <sheetName val="Vertrieb"/>
      <sheetName val="Service"/>
      <sheetName val="Lager"/>
      <sheetName val="Umwelt"/>
      <sheetName val="Arbeitsschutz"/>
      <sheetName val="Sonstiges"/>
    </sheetNames>
    <sheetDataSet>
      <sheetData sheetId="0">
        <row r="8">
          <cell r="B8" t="str">
            <v>Januar</v>
          </cell>
          <cell r="C8" t="str">
            <v xml:space="preserve">Februar </v>
          </cell>
          <cell r="D8" t="str">
            <v xml:space="preserve">März </v>
          </cell>
          <cell r="E8" t="str">
            <v xml:space="preserve">April </v>
          </cell>
          <cell r="F8" t="str">
            <v xml:space="preserve">Mai </v>
          </cell>
          <cell r="G8" t="str">
            <v xml:space="preserve">Juni </v>
          </cell>
          <cell r="H8" t="str">
            <v xml:space="preserve">Juli </v>
          </cell>
          <cell r="I8" t="str">
            <v xml:space="preserve">August </v>
          </cell>
          <cell r="J8" t="str">
            <v xml:space="preserve">September </v>
          </cell>
          <cell r="K8" t="str">
            <v xml:space="preserve">Oktober </v>
          </cell>
          <cell r="L8" t="str">
            <v xml:space="preserve">November </v>
          </cell>
          <cell r="M8" t="str">
            <v xml:space="preserve">Dezember </v>
          </cell>
        </row>
        <row r="9">
          <cell r="A9" t="str">
            <v xml:space="preserve"> I 1 = Mitarbeiterfluktuation (Fahrer, weitere Mitarbeiterkategorien)</v>
          </cell>
          <cell r="B9">
            <v>4.0178571428571432E-2</v>
          </cell>
          <cell r="C9">
            <v>4.7413793103448273E-2</v>
          </cell>
          <cell r="D9">
            <v>4.3290043290043288E-2</v>
          </cell>
          <cell r="E9">
            <v>9.417040358744394E-2</v>
          </cell>
          <cell r="F9">
            <v>4.3478260869565216E-2</v>
          </cell>
          <cell r="G9">
            <v>5.8035714285714288E-2</v>
          </cell>
          <cell r="H9">
            <v>7.3394495412844041E-2</v>
          </cell>
          <cell r="I9">
            <v>7.0754716981132074E-2</v>
          </cell>
          <cell r="J9">
            <v>6.5420560747663545E-2</v>
          </cell>
          <cell r="K9">
            <v>3.6363636363636362E-2</v>
          </cell>
          <cell r="L9">
            <v>5.9907834101382486E-2</v>
          </cell>
          <cell r="M9">
            <v>5.1162790697674418E-2</v>
          </cell>
        </row>
        <row r="10">
          <cell r="A10" t="str">
            <v>I 2 = Mitarbeiterstabilität im Unternehmen (Anzahl der Mitarbeiter mit mehr als einem Jahr Betriebszugehörigkeit, die ihren individuellen Arbeitsvertrag beendet haben)</v>
          </cell>
          <cell r="B10">
            <v>1.3392857142857142E-2</v>
          </cell>
          <cell r="C10">
            <v>1.7241379310344827E-2</v>
          </cell>
          <cell r="D10">
            <v>1.7316017316017316E-2</v>
          </cell>
          <cell r="E10">
            <v>2.2421524663677129E-2</v>
          </cell>
          <cell r="F10">
            <v>4.3478260869565218E-3</v>
          </cell>
          <cell r="G10">
            <v>1.3392857142857142E-2</v>
          </cell>
          <cell r="H10">
            <v>1.834862385321101E-2</v>
          </cell>
          <cell r="I10">
            <v>9.433962264150943E-3</v>
          </cell>
          <cell r="J10">
            <v>2.8037383177570093E-2</v>
          </cell>
          <cell r="K10">
            <v>1.8181818181818181E-2</v>
          </cell>
          <cell r="L10">
            <v>2.3041474654377881E-2</v>
          </cell>
          <cell r="M10">
            <v>1.8604651162790697E-2</v>
          </cell>
        </row>
        <row r="12">
          <cell r="A12" t="str">
            <v>I 4 = Anteil unbesetzter Stellen (Fahrer, weitere Mitarbeiterkategorien)</v>
          </cell>
          <cell r="B12">
            <v>6.2761506276150625E-2</v>
          </cell>
          <cell r="C12">
            <v>7.5697211155378488E-2</v>
          </cell>
          <cell r="D12">
            <v>3.7499999999999999E-2</v>
          </cell>
          <cell r="E12">
            <v>5.9071729957805907E-2</v>
          </cell>
          <cell r="F12">
            <v>4.9586776859504134E-2</v>
          </cell>
          <cell r="G12">
            <v>5.0847457627118647E-2</v>
          </cell>
          <cell r="H12">
            <v>4.3859649122807015E-2</v>
          </cell>
          <cell r="I12">
            <v>4.072398190045249E-2</v>
          </cell>
          <cell r="J12">
            <v>5.7268722466960353E-2</v>
          </cell>
          <cell r="K12">
            <v>7.5630252100840331E-2</v>
          </cell>
          <cell r="L12">
            <v>4.405286343612335E-2</v>
          </cell>
          <cell r="M12">
            <v>3.1531531531531529E-2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rse Umane 202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DA1C2-813D-417F-9466-5444DC2F23B0}">
  <sheetPr>
    <tabColor rgb="FF00B050"/>
  </sheetPr>
  <dimension ref="B4:B12"/>
  <sheetViews>
    <sheetView showGridLines="0" tabSelected="1" workbookViewId="0">
      <selection activeCell="A12" sqref="A12:XFD12"/>
    </sheetView>
  </sheetViews>
  <sheetFormatPr defaultRowHeight="20.100000000000001" customHeight="1"/>
  <cols>
    <col min="2" max="2" width="255.7109375" bestFit="1" customWidth="1"/>
  </cols>
  <sheetData>
    <row r="4" spans="2:2" ht="32.25" customHeight="1">
      <c r="B4" s="498" t="s">
        <v>288</v>
      </c>
    </row>
    <row r="5" spans="2:2" ht="38.25" customHeight="1">
      <c r="B5" s="498" t="s">
        <v>289</v>
      </c>
    </row>
    <row r="6" spans="2:2" ht="33.75" customHeight="1">
      <c r="B6" s="498" t="s">
        <v>290</v>
      </c>
    </row>
    <row r="7" spans="2:2" ht="20.100000000000001" customHeight="1">
      <c r="B7" s="498" t="s">
        <v>291</v>
      </c>
    </row>
    <row r="8" spans="2:2" ht="20.100000000000001" customHeight="1">
      <c r="B8" s="498" t="s">
        <v>292</v>
      </c>
    </row>
    <row r="9" spans="2:2" ht="20.100000000000001" customHeight="1">
      <c r="B9" s="498" t="s">
        <v>293</v>
      </c>
    </row>
    <row r="10" spans="2:2" ht="20.100000000000001" customHeight="1">
      <c r="B10" s="498" t="s">
        <v>294</v>
      </c>
    </row>
    <row r="11" spans="2:2" ht="20.100000000000001" customHeight="1">
      <c r="B11" s="498" t="s">
        <v>295</v>
      </c>
    </row>
    <row r="12" spans="2:2" ht="20.100000000000001" customHeight="1">
      <c r="B12" s="498" t="s">
        <v>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ABA1B-9915-46C4-AA2A-114209BF9138}">
  <sheetPr>
    <tabColor rgb="FF00B050"/>
  </sheetPr>
  <dimension ref="A2:AS24"/>
  <sheetViews>
    <sheetView showGridLines="0" zoomScale="50" zoomScaleNormal="5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58" sqref="G58"/>
    </sheetView>
  </sheetViews>
  <sheetFormatPr defaultRowHeight="15.75"/>
  <cols>
    <col min="1" max="1" width="79.42578125" style="53" bestFit="1" customWidth="1"/>
    <col min="2" max="3" width="8.5703125" style="53" bestFit="1" customWidth="1"/>
    <col min="4" max="6" width="7.28515625" style="53" bestFit="1" customWidth="1"/>
    <col min="7" max="7" width="27" style="53" bestFit="1" customWidth="1"/>
    <col min="8" max="8" width="9.140625" style="53" bestFit="1" customWidth="1"/>
    <col min="9" max="9" width="7.85546875" style="53" bestFit="1" customWidth="1"/>
    <col min="10" max="10" width="12" style="53" bestFit="1" customWidth="1"/>
    <col min="11" max="11" width="9.140625" style="53" bestFit="1" customWidth="1"/>
    <col min="12" max="12" width="11.28515625" style="53" bestFit="1" customWidth="1"/>
    <col min="13" max="13" width="11" style="53" bestFit="1" customWidth="1"/>
    <col min="14" max="14" width="27" style="53" bestFit="1" customWidth="1"/>
    <col min="15" max="15" width="9.140625" style="53" bestFit="1" customWidth="1"/>
    <col min="16" max="16" width="9.140625" style="53"/>
    <col min="17" max="19" width="8.5703125" style="53" bestFit="1" customWidth="1"/>
    <col min="20" max="21" width="8.28515625" style="53" bestFit="1" customWidth="1"/>
    <col min="22" max="22" width="27" style="53" bestFit="1" customWidth="1"/>
    <col min="23" max="23" width="9.85546875" style="53" bestFit="1" customWidth="1"/>
    <col min="24" max="24" width="8.28515625" style="53" bestFit="1" customWidth="1"/>
    <col min="25" max="25" width="12" style="53" bestFit="1" customWidth="1"/>
    <col min="26" max="26" width="9.140625" style="53" bestFit="1" customWidth="1"/>
    <col min="27" max="27" width="11.28515625" style="53" bestFit="1" customWidth="1"/>
    <col min="28" max="28" width="11" style="53" bestFit="1" customWidth="1"/>
    <col min="29" max="29" width="27" style="53" bestFit="1" customWidth="1"/>
    <col min="30" max="30" width="9.140625" style="53" bestFit="1" customWidth="1"/>
    <col min="31" max="31" width="9.140625" style="53"/>
    <col min="32" max="36" width="10.7109375" style="53" bestFit="1" customWidth="1"/>
    <col min="37" max="37" width="9.85546875" style="53" bestFit="1" customWidth="1"/>
    <col min="38" max="39" width="10.7109375" style="53" bestFit="1" customWidth="1"/>
    <col min="40" max="40" width="12" style="53" bestFit="1" customWidth="1"/>
    <col min="41" max="41" width="10.7109375" style="53" bestFit="1" customWidth="1"/>
    <col min="42" max="42" width="11.28515625" style="53" bestFit="1" customWidth="1"/>
    <col min="43" max="43" width="11" style="53" bestFit="1" customWidth="1"/>
    <col min="44" max="44" width="27" style="53" bestFit="1" customWidth="1"/>
    <col min="45" max="45" width="9.28515625" style="53" bestFit="1" customWidth="1"/>
    <col min="46" max="16384" width="9.140625" style="53"/>
  </cols>
  <sheetData>
    <row r="2" spans="1:45">
      <c r="B2" s="315">
        <v>2022</v>
      </c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Q2" s="315">
        <v>2023</v>
      </c>
      <c r="R2" s="315"/>
      <c r="S2" s="315"/>
      <c r="T2" s="315"/>
      <c r="U2" s="315"/>
      <c r="V2" s="315"/>
      <c r="W2" s="315"/>
      <c r="X2" s="315"/>
      <c r="Y2" s="315"/>
      <c r="Z2" s="315"/>
      <c r="AA2" s="315"/>
      <c r="AB2" s="315"/>
      <c r="AC2" s="315"/>
      <c r="AD2" s="315"/>
      <c r="AF2" s="315">
        <v>2024</v>
      </c>
      <c r="AG2" s="315"/>
      <c r="AH2" s="315"/>
      <c r="AI2" s="315"/>
      <c r="AJ2" s="315"/>
      <c r="AK2" s="315"/>
      <c r="AL2" s="315"/>
      <c r="AM2" s="315"/>
      <c r="AN2" s="315"/>
      <c r="AO2" s="315"/>
      <c r="AP2" s="315"/>
      <c r="AQ2" s="315"/>
      <c r="AR2" s="315"/>
      <c r="AS2" s="315"/>
    </row>
    <row r="3" spans="1:45" ht="16.5" thickBo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1:45" ht="16.5" customHeight="1" thickTop="1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3" t="s">
        <v>14</v>
      </c>
      <c r="Q4" s="2" t="s">
        <v>1</v>
      </c>
      <c r="R4" s="2" t="s">
        <v>2</v>
      </c>
      <c r="S4" s="2" t="s">
        <v>3</v>
      </c>
      <c r="T4" s="2" t="s">
        <v>4</v>
      </c>
      <c r="U4" s="2" t="s">
        <v>5</v>
      </c>
      <c r="V4" s="2" t="s">
        <v>6</v>
      </c>
      <c r="W4" s="2" t="s">
        <v>7</v>
      </c>
      <c r="X4" s="2" t="s">
        <v>8</v>
      </c>
      <c r="Y4" s="2" t="s">
        <v>9</v>
      </c>
      <c r="Z4" s="2" t="s">
        <v>10</v>
      </c>
      <c r="AA4" s="2" t="s">
        <v>11</v>
      </c>
      <c r="AB4" s="2" t="s">
        <v>12</v>
      </c>
      <c r="AC4" s="2" t="s">
        <v>13</v>
      </c>
      <c r="AD4" s="3" t="s">
        <v>14</v>
      </c>
      <c r="AF4" s="2" t="s">
        <v>1</v>
      </c>
      <c r="AG4" s="2" t="s">
        <v>2</v>
      </c>
      <c r="AH4" s="2" t="s">
        <v>3</v>
      </c>
      <c r="AI4" s="2" t="s">
        <v>4</v>
      </c>
      <c r="AJ4" s="2" t="s">
        <v>5</v>
      </c>
      <c r="AK4" s="2" t="s">
        <v>6</v>
      </c>
      <c r="AL4" s="2" t="s">
        <v>7</v>
      </c>
      <c r="AM4" s="2" t="s">
        <v>8</v>
      </c>
      <c r="AN4" s="2" t="s">
        <v>9</v>
      </c>
      <c r="AO4" s="2" t="s">
        <v>10</v>
      </c>
      <c r="AP4" s="2" t="s">
        <v>11</v>
      </c>
      <c r="AQ4" s="2" t="s">
        <v>12</v>
      </c>
      <c r="AR4" s="2" t="s">
        <v>13</v>
      </c>
      <c r="AS4" s="3" t="s">
        <v>14</v>
      </c>
    </row>
    <row r="5" spans="1:45" ht="16.5" thickBot="1">
      <c r="A5" s="1"/>
      <c r="B5" s="109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22"/>
      <c r="Q5" s="109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22"/>
    </row>
    <row r="6" spans="1:45" ht="18.75" customHeight="1" thickBot="1">
      <c r="A6" s="27" t="s">
        <v>15</v>
      </c>
      <c r="B6" s="271">
        <f t="shared" ref="B6:M6" si="0">B20</f>
        <v>0.04</v>
      </c>
      <c r="C6" s="271">
        <f t="shared" si="0"/>
        <v>3.0837004405286344E-2</v>
      </c>
      <c r="D6" s="271">
        <f t="shared" si="0"/>
        <v>6.5502183406113537E-2</v>
      </c>
      <c r="E6" s="271">
        <f t="shared" si="0"/>
        <v>4.3478260869565216E-2</v>
      </c>
      <c r="F6" s="271">
        <f t="shared" si="0"/>
        <v>6.1674008810572688E-2</v>
      </c>
      <c r="G6" s="271">
        <f t="shared" si="0"/>
        <v>3.8626609442060089E-2</v>
      </c>
      <c r="H6" s="271">
        <f t="shared" si="0"/>
        <v>6.4655172413793108E-2</v>
      </c>
      <c r="I6" s="271">
        <f t="shared" si="0"/>
        <v>7.9166666666666663E-2</v>
      </c>
      <c r="J6" s="271">
        <f t="shared" si="0"/>
        <v>4.4534412955465584E-2</v>
      </c>
      <c r="K6" s="271">
        <f t="shared" si="0"/>
        <v>6.8548387096774188E-2</v>
      </c>
      <c r="L6" s="271">
        <f t="shared" si="0"/>
        <v>3.4749034749034749E-2</v>
      </c>
      <c r="M6" s="271">
        <f t="shared" si="0"/>
        <v>0.06</v>
      </c>
      <c r="N6" s="272">
        <f>AVERAGE(B6:M6)</f>
        <v>5.2647645067944338E-2</v>
      </c>
      <c r="O6" s="273">
        <v>0.09</v>
      </c>
      <c r="Q6" s="274">
        <v>4.5801526717557252E-2</v>
      </c>
      <c r="R6" s="274">
        <v>3.8167938931297711E-2</v>
      </c>
      <c r="S6" s="274">
        <v>5.905511811023622E-2</v>
      </c>
      <c r="T6" s="274">
        <v>8.0321285140562249E-2</v>
      </c>
      <c r="U6" s="274">
        <v>5.2631578947368418E-2</v>
      </c>
      <c r="V6" s="274">
        <v>4.8192771084337352E-2</v>
      </c>
      <c r="W6" s="274">
        <v>4.8387096774193547E-2</v>
      </c>
      <c r="X6" s="274">
        <v>9.7046413502109699E-2</v>
      </c>
      <c r="Y6" s="274">
        <v>4.2194092827004218E-2</v>
      </c>
      <c r="Z6" s="274">
        <v>8.8607594936708861E-2</v>
      </c>
      <c r="AA6" s="274">
        <v>9.2105263157894732E-2</v>
      </c>
      <c r="AB6" s="274">
        <v>6.9124423963133647E-2</v>
      </c>
      <c r="AC6" s="272">
        <f>AVERAGE(Q6:AB6)</f>
        <v>6.3469592007700318E-2</v>
      </c>
      <c r="AD6" s="275">
        <v>7.4999999999999997E-2</v>
      </c>
      <c r="AF6" s="276">
        <v>4.0178571428571432E-2</v>
      </c>
      <c r="AG6" s="276">
        <v>4.7413793103448273E-2</v>
      </c>
      <c r="AH6" s="276">
        <v>4.3290043290043288E-2</v>
      </c>
      <c r="AI6" s="276">
        <v>9.417040358744394E-2</v>
      </c>
      <c r="AJ6" s="276">
        <v>4.3478260869565216E-2</v>
      </c>
      <c r="AK6" s="276">
        <v>5.8035714285714288E-2</v>
      </c>
      <c r="AL6" s="276">
        <v>7.3394495412844041E-2</v>
      </c>
      <c r="AM6" s="276">
        <v>7.0754716981132074E-2</v>
      </c>
      <c r="AN6" s="276">
        <v>6.5420560747663545E-2</v>
      </c>
      <c r="AO6" s="276">
        <v>3.6363636363636362E-2</v>
      </c>
      <c r="AP6" s="276">
        <v>5.9907834101382486E-2</v>
      </c>
      <c r="AQ6" s="276">
        <v>5.1162790697674418E-2</v>
      </c>
      <c r="AR6" s="277">
        <v>5.6964235072426601E-2</v>
      </c>
      <c r="AS6" s="278">
        <v>7.4999999999999997E-2</v>
      </c>
    </row>
    <row r="7" spans="1:45" ht="16.5" thickBot="1">
      <c r="A7" s="77"/>
      <c r="B7" s="279"/>
      <c r="C7" s="279"/>
      <c r="D7" s="78"/>
      <c r="E7" s="78"/>
      <c r="F7" s="78"/>
      <c r="G7" s="78"/>
      <c r="H7" s="78"/>
      <c r="I7" s="78"/>
      <c r="J7" s="78"/>
      <c r="K7" s="78"/>
      <c r="L7" s="78"/>
      <c r="M7" s="78"/>
      <c r="N7" s="22"/>
      <c r="O7" s="225"/>
    </row>
    <row r="8" spans="1:45" ht="38.25" customHeight="1" thickTop="1" thickBot="1">
      <c r="A8" s="77"/>
      <c r="B8" s="2">
        <v>2021</v>
      </c>
      <c r="C8" s="2">
        <v>2022</v>
      </c>
      <c r="D8" s="2">
        <v>2023</v>
      </c>
      <c r="E8" s="2">
        <v>2024</v>
      </c>
      <c r="F8" s="2">
        <v>2025</v>
      </c>
      <c r="G8" s="280" t="s">
        <v>13</v>
      </c>
      <c r="H8" s="281" t="s">
        <v>14</v>
      </c>
      <c r="I8" s="78"/>
      <c r="J8" s="78"/>
      <c r="K8" s="78"/>
      <c r="L8" s="78"/>
      <c r="M8" s="78"/>
      <c r="N8" s="22"/>
      <c r="O8" s="225"/>
      <c r="Q8" s="2">
        <v>2021</v>
      </c>
      <c r="R8" s="2">
        <v>2022</v>
      </c>
      <c r="S8" s="2">
        <v>2023</v>
      </c>
      <c r="T8" s="2">
        <v>2024</v>
      </c>
      <c r="U8" s="2">
        <v>2025</v>
      </c>
      <c r="V8" s="280" t="s">
        <v>13</v>
      </c>
      <c r="W8" s="281" t="s">
        <v>14</v>
      </c>
    </row>
    <row r="9" spans="1:45" ht="17.25" customHeight="1" thickBot="1">
      <c r="A9" s="27" t="s">
        <v>16</v>
      </c>
      <c r="B9" s="271">
        <v>0.53</v>
      </c>
      <c r="C9" s="271">
        <v>0.62</v>
      </c>
      <c r="D9" s="271"/>
      <c r="E9" s="271"/>
      <c r="F9" s="282"/>
      <c r="G9" s="283">
        <f>AVERAGE(B9:F9)</f>
        <v>0.57499999999999996</v>
      </c>
      <c r="H9" s="284" t="s">
        <v>17</v>
      </c>
      <c r="I9" s="285"/>
      <c r="J9" s="286"/>
      <c r="K9" s="285"/>
      <c r="L9" s="285"/>
      <c r="M9" s="285"/>
      <c r="N9" s="23"/>
      <c r="O9" s="23"/>
      <c r="Q9" s="271">
        <v>0.53</v>
      </c>
      <c r="R9" s="271">
        <v>0.62</v>
      </c>
      <c r="S9" s="287"/>
      <c r="T9" s="271"/>
      <c r="U9" s="282"/>
      <c r="V9" s="283">
        <f>AVERAGE(Q9:U9)</f>
        <v>0.57499999999999996</v>
      </c>
      <c r="W9" s="284" t="s">
        <v>17</v>
      </c>
      <c r="AF9" s="276">
        <v>1.3392857142857142E-2</v>
      </c>
      <c r="AG9" s="276">
        <v>1.7241379310344827E-2</v>
      </c>
      <c r="AH9" s="276">
        <v>1.7316017316017316E-2</v>
      </c>
      <c r="AI9" s="276">
        <v>2.2421524663677129E-2</v>
      </c>
      <c r="AJ9" s="276">
        <v>4.3478260869565218E-3</v>
      </c>
      <c r="AK9" s="276">
        <v>1.3392857142857142E-2</v>
      </c>
      <c r="AL9" s="276">
        <v>1.834862385321101E-2</v>
      </c>
      <c r="AM9" s="276">
        <v>9.433962264150943E-3</v>
      </c>
      <c r="AN9" s="276">
        <v>2.8037383177570093E-2</v>
      </c>
      <c r="AO9" s="276">
        <v>1.8181818181818181E-2</v>
      </c>
      <c r="AP9" s="276">
        <v>2.3041474654377881E-2</v>
      </c>
      <c r="AQ9" s="276">
        <v>1.8604651162790697E-2</v>
      </c>
      <c r="AR9" s="277">
        <v>1.6980031246385741E-2</v>
      </c>
      <c r="AS9" s="278">
        <v>1.4999999999999999E-2</v>
      </c>
    </row>
    <row r="10" spans="1:45" ht="21.75" customHeight="1" thickBot="1">
      <c r="A10" s="1" t="s">
        <v>19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159"/>
      <c r="O10" s="288"/>
    </row>
    <row r="11" spans="1:45" ht="18.75" customHeight="1" thickTop="1" thickBot="1">
      <c r="A11" s="22"/>
      <c r="B11" s="2">
        <v>2021</v>
      </c>
      <c r="C11" s="2">
        <v>2022</v>
      </c>
      <c r="D11" s="2">
        <v>2023</v>
      </c>
      <c r="E11" s="2">
        <v>2024</v>
      </c>
      <c r="F11" s="2">
        <v>2025</v>
      </c>
      <c r="G11" s="2" t="s">
        <v>13</v>
      </c>
      <c r="H11" s="3" t="s">
        <v>14</v>
      </c>
      <c r="I11" s="22"/>
      <c r="J11" s="22"/>
      <c r="K11" s="22"/>
      <c r="L11" s="22"/>
      <c r="M11" s="22"/>
      <c r="N11" s="22"/>
      <c r="O11" s="22"/>
      <c r="Q11" s="2">
        <v>2021</v>
      </c>
      <c r="R11" s="2">
        <v>2022</v>
      </c>
      <c r="S11" s="2">
        <v>2023</v>
      </c>
      <c r="T11" s="2">
        <v>2024</v>
      </c>
      <c r="U11" s="2">
        <v>2025</v>
      </c>
      <c r="V11" s="2" t="s">
        <v>13</v>
      </c>
      <c r="W11" s="3" t="s">
        <v>14</v>
      </c>
      <c r="X11" s="22"/>
      <c r="Y11" s="22"/>
      <c r="Z11" s="22"/>
      <c r="AA11" s="22"/>
      <c r="AB11" s="22"/>
      <c r="AC11" s="22"/>
      <c r="AD11" s="22"/>
    </row>
    <row r="12" spans="1:45" ht="29.25" customHeight="1" thickBot="1">
      <c r="A12" s="27" t="s">
        <v>20</v>
      </c>
      <c r="B12" s="289">
        <v>0.92500000000000004</v>
      </c>
      <c r="C12" s="290">
        <v>0.875</v>
      </c>
      <c r="D12" s="289"/>
      <c r="E12" s="289"/>
      <c r="F12" s="289"/>
      <c r="G12" s="291">
        <f>AVERAGE(B12:F12)</f>
        <v>0.9</v>
      </c>
      <c r="H12" s="292">
        <f>90%</f>
        <v>0.9</v>
      </c>
      <c r="I12" s="293"/>
      <c r="J12" s="286"/>
      <c r="K12" s="293"/>
      <c r="L12" s="293"/>
      <c r="M12" s="23"/>
      <c r="N12" s="23"/>
      <c r="O12" s="23"/>
      <c r="Q12" s="289">
        <v>0.92500000000000004</v>
      </c>
      <c r="R12" s="290">
        <v>0.875</v>
      </c>
      <c r="S12" s="289">
        <v>0.89329999999999998</v>
      </c>
      <c r="T12" s="289"/>
      <c r="U12" s="289"/>
      <c r="V12" s="291">
        <f>AVERAGE(Q12:U12)</f>
        <v>0.8977666666666666</v>
      </c>
      <c r="W12" s="292">
        <v>1</v>
      </c>
      <c r="X12" s="293"/>
      <c r="Y12" s="286"/>
      <c r="Z12" s="293"/>
      <c r="AA12" s="293"/>
      <c r="AB12" s="23"/>
      <c r="AC12" s="23"/>
      <c r="AD12" s="23"/>
      <c r="AF12" s="276">
        <v>1</v>
      </c>
      <c r="AG12" s="276">
        <v>1</v>
      </c>
      <c r="AH12" s="276">
        <v>1</v>
      </c>
      <c r="AI12" s="276">
        <v>1</v>
      </c>
      <c r="AJ12" s="276">
        <v>1</v>
      </c>
      <c r="AK12" s="276">
        <v>0.83</v>
      </c>
      <c r="AL12" s="276">
        <v>1</v>
      </c>
      <c r="AM12" s="276">
        <v>1</v>
      </c>
      <c r="AN12" s="276">
        <v>1</v>
      </c>
      <c r="AO12" s="276">
        <v>1</v>
      </c>
      <c r="AP12" s="276">
        <v>1</v>
      </c>
      <c r="AQ12" s="276">
        <v>0.67</v>
      </c>
      <c r="AR12" s="277">
        <v>0.95833333333333337</v>
      </c>
      <c r="AS12" s="278">
        <v>1</v>
      </c>
    </row>
    <row r="13" spans="1:45" ht="16.5" thickBo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45" ht="19.5" customHeight="1">
      <c r="A14" s="27" t="s">
        <v>25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Q14" s="294">
        <v>8.3916083916083919E-2</v>
      </c>
      <c r="R14" s="294">
        <v>3.6764705882352942E-2</v>
      </c>
      <c r="S14" s="294">
        <v>2.681992337164751E-2</v>
      </c>
      <c r="T14" s="294">
        <v>4.9618320610687022E-2</v>
      </c>
      <c r="U14" s="294">
        <v>4.2635658914728682E-2</v>
      </c>
      <c r="V14" s="294">
        <v>5.3231939163498103E-2</v>
      </c>
      <c r="W14" s="294">
        <v>4.9808429118773943E-2</v>
      </c>
      <c r="X14" s="294">
        <v>4.8192771084337352E-2</v>
      </c>
      <c r="Y14" s="294">
        <v>4.048582995951417E-2</v>
      </c>
      <c r="Z14" s="294">
        <v>8.1395348837209308E-2</v>
      </c>
      <c r="AA14" s="294">
        <v>4.2016806722689079E-2</v>
      </c>
      <c r="AB14" s="294">
        <v>2.6905829596412561E-2</v>
      </c>
      <c r="AC14" s="295">
        <f>AVERAGE(Q14:AB14)</f>
        <v>4.848263726482787E-2</v>
      </c>
      <c r="AD14" s="296">
        <v>7.0000000000000007E-2</v>
      </c>
      <c r="AF14" s="276">
        <v>6.2761506276150625E-2</v>
      </c>
      <c r="AG14" s="276">
        <v>7.5697211155378488E-2</v>
      </c>
      <c r="AH14" s="276">
        <v>3.7499999999999999E-2</v>
      </c>
      <c r="AI14" s="276">
        <v>5.9071729957805907E-2</v>
      </c>
      <c r="AJ14" s="276">
        <v>4.9586776859504134E-2</v>
      </c>
      <c r="AK14" s="276">
        <v>5.0847457627118647E-2</v>
      </c>
      <c r="AL14" s="276">
        <v>4.3859649122807015E-2</v>
      </c>
      <c r="AM14" s="276">
        <v>4.072398190045249E-2</v>
      </c>
      <c r="AN14" s="276">
        <v>5.7268722466960353E-2</v>
      </c>
      <c r="AO14" s="276">
        <v>7.5630252100840331E-2</v>
      </c>
      <c r="AP14" s="276">
        <v>4.405286343612335E-2</v>
      </c>
      <c r="AQ14" s="276">
        <v>3.1531531531531529E-2</v>
      </c>
      <c r="AR14" s="277">
        <v>5.237764020288941E-2</v>
      </c>
      <c r="AS14" s="278">
        <v>7.0000000000000007E-2</v>
      </c>
    </row>
    <row r="15" spans="1:4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4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>
      <c r="A18" s="297" t="s">
        <v>21</v>
      </c>
      <c r="B18" s="298">
        <v>9</v>
      </c>
      <c r="C18" s="298">
        <v>7</v>
      </c>
      <c r="D18" s="298">
        <v>15</v>
      </c>
      <c r="E18" s="298">
        <v>10</v>
      </c>
      <c r="F18" s="298">
        <v>14</v>
      </c>
      <c r="G18" s="298">
        <v>9</v>
      </c>
      <c r="H18" s="298">
        <v>15</v>
      </c>
      <c r="I18" s="298">
        <v>19</v>
      </c>
      <c r="J18" s="298">
        <v>11</v>
      </c>
      <c r="K18" s="298">
        <v>17</v>
      </c>
      <c r="L18" s="298">
        <v>9</v>
      </c>
      <c r="M18" s="298">
        <v>15</v>
      </c>
      <c r="N18" s="249"/>
      <c r="O18" s="249"/>
      <c r="Q18" s="299">
        <v>12</v>
      </c>
      <c r="R18" s="299">
        <v>10</v>
      </c>
      <c r="S18" s="299">
        <v>15</v>
      </c>
      <c r="T18" s="299">
        <v>20</v>
      </c>
      <c r="U18" s="299">
        <v>13</v>
      </c>
      <c r="V18" s="299">
        <v>12</v>
      </c>
      <c r="W18" s="299">
        <v>12</v>
      </c>
      <c r="X18" s="299">
        <v>23</v>
      </c>
      <c r="Y18" s="299">
        <v>10</v>
      </c>
      <c r="Z18" s="299">
        <v>21</v>
      </c>
      <c r="AA18" s="299">
        <v>21</v>
      </c>
      <c r="AB18" s="299">
        <v>15</v>
      </c>
      <c r="AC18" s="249"/>
      <c r="AD18" s="249"/>
    </row>
    <row r="19" spans="1:30">
      <c r="A19" s="297" t="s">
        <v>22</v>
      </c>
      <c r="B19" s="300">
        <v>225</v>
      </c>
      <c r="C19" s="300">
        <v>227</v>
      </c>
      <c r="D19" s="300">
        <v>229</v>
      </c>
      <c r="E19" s="300">
        <v>230</v>
      </c>
      <c r="F19" s="300">
        <v>227</v>
      </c>
      <c r="G19" s="300">
        <v>233</v>
      </c>
      <c r="H19" s="300">
        <v>232</v>
      </c>
      <c r="I19" s="300">
        <v>240</v>
      </c>
      <c r="J19" s="300">
        <v>247</v>
      </c>
      <c r="K19" s="300">
        <v>248</v>
      </c>
      <c r="L19" s="300">
        <v>259</v>
      </c>
      <c r="M19" s="300">
        <v>250</v>
      </c>
      <c r="N19" s="249"/>
      <c r="O19" s="249"/>
      <c r="Q19" s="301">
        <v>262</v>
      </c>
      <c r="R19" s="301">
        <v>262</v>
      </c>
      <c r="S19" s="301">
        <v>254</v>
      </c>
      <c r="T19" s="301">
        <v>249</v>
      </c>
      <c r="U19" s="301">
        <v>247</v>
      </c>
      <c r="V19" s="301">
        <v>249</v>
      </c>
      <c r="W19" s="301">
        <v>248</v>
      </c>
      <c r="X19" s="301">
        <v>237</v>
      </c>
      <c r="Y19" s="301">
        <v>237</v>
      </c>
      <c r="Z19" s="301">
        <v>237</v>
      </c>
      <c r="AA19" s="301">
        <v>228</v>
      </c>
      <c r="AB19" s="301">
        <v>217</v>
      </c>
      <c r="AC19" s="249"/>
      <c r="AD19" s="249"/>
    </row>
    <row r="20" spans="1:30">
      <c r="A20" s="297" t="s">
        <v>23</v>
      </c>
      <c r="B20" s="271">
        <f t="shared" ref="B20:M20" si="1">B18/B19</f>
        <v>0.04</v>
      </c>
      <c r="C20" s="271">
        <f t="shared" si="1"/>
        <v>3.0837004405286344E-2</v>
      </c>
      <c r="D20" s="271">
        <f t="shared" si="1"/>
        <v>6.5502183406113537E-2</v>
      </c>
      <c r="E20" s="271">
        <f t="shared" si="1"/>
        <v>4.3478260869565216E-2</v>
      </c>
      <c r="F20" s="271">
        <f t="shared" si="1"/>
        <v>6.1674008810572688E-2</v>
      </c>
      <c r="G20" s="271">
        <f t="shared" si="1"/>
        <v>3.8626609442060089E-2</v>
      </c>
      <c r="H20" s="271">
        <f t="shared" si="1"/>
        <v>6.4655172413793108E-2</v>
      </c>
      <c r="I20" s="271">
        <f t="shared" si="1"/>
        <v>7.9166666666666663E-2</v>
      </c>
      <c r="J20" s="271">
        <f t="shared" si="1"/>
        <v>4.4534412955465584E-2</v>
      </c>
      <c r="K20" s="271">
        <f t="shared" si="1"/>
        <v>6.8548387096774188E-2</v>
      </c>
      <c r="L20" s="271">
        <f t="shared" si="1"/>
        <v>3.4749034749034749E-2</v>
      </c>
      <c r="M20" s="271">
        <f t="shared" si="1"/>
        <v>0.06</v>
      </c>
      <c r="N20" s="249"/>
      <c r="O20" s="249"/>
      <c r="Q20" s="274">
        <f t="shared" ref="Q20:AB20" si="2">Q18/Q19</f>
        <v>4.5801526717557252E-2</v>
      </c>
      <c r="R20" s="274">
        <f t="shared" si="2"/>
        <v>3.8167938931297711E-2</v>
      </c>
      <c r="S20" s="274">
        <f t="shared" si="2"/>
        <v>5.905511811023622E-2</v>
      </c>
      <c r="T20" s="274">
        <f t="shared" si="2"/>
        <v>8.0321285140562249E-2</v>
      </c>
      <c r="U20" s="274">
        <f t="shared" si="2"/>
        <v>5.2631578947368418E-2</v>
      </c>
      <c r="V20" s="274">
        <f t="shared" si="2"/>
        <v>4.8192771084337352E-2</v>
      </c>
      <c r="W20" s="274">
        <f t="shared" si="2"/>
        <v>4.8387096774193547E-2</v>
      </c>
      <c r="X20" s="274">
        <f t="shared" si="2"/>
        <v>9.7046413502109699E-2</v>
      </c>
      <c r="Y20" s="274">
        <f t="shared" si="2"/>
        <v>4.2194092827004218E-2</v>
      </c>
      <c r="Z20" s="274">
        <f t="shared" si="2"/>
        <v>8.8607594936708861E-2</v>
      </c>
      <c r="AA20" s="274">
        <f t="shared" si="2"/>
        <v>9.2105263157894732E-2</v>
      </c>
      <c r="AB20" s="274">
        <f t="shared" si="2"/>
        <v>6.9124423963133647E-2</v>
      </c>
      <c r="AC20" s="249"/>
      <c r="AD20" s="249"/>
    </row>
    <row r="21" spans="1:30">
      <c r="A21" s="22"/>
      <c r="B21" s="78"/>
      <c r="C21" s="78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22"/>
      <c r="O21" s="22"/>
      <c r="Q21" s="302"/>
      <c r="R21" s="302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22"/>
      <c r="AD21" s="22"/>
    </row>
    <row r="22" spans="1:30">
      <c r="A22" s="297" t="s">
        <v>24</v>
      </c>
      <c r="B22" s="298">
        <v>3</v>
      </c>
      <c r="C22" s="298">
        <v>1</v>
      </c>
      <c r="D22" s="298">
        <v>4</v>
      </c>
      <c r="E22" s="298">
        <v>2</v>
      </c>
      <c r="F22" s="298">
        <v>6</v>
      </c>
      <c r="G22" s="298">
        <v>4</v>
      </c>
      <c r="H22" s="298">
        <v>2</v>
      </c>
      <c r="I22" s="298">
        <v>5</v>
      </c>
      <c r="J22" s="298">
        <v>2</v>
      </c>
      <c r="K22" s="298">
        <v>2</v>
      </c>
      <c r="L22" s="298">
        <v>4</v>
      </c>
      <c r="M22" s="298">
        <v>3</v>
      </c>
      <c r="N22" s="249"/>
      <c r="O22" s="249"/>
      <c r="Q22" s="299">
        <v>1</v>
      </c>
      <c r="R22" s="299">
        <v>6</v>
      </c>
      <c r="S22" s="299">
        <v>3</v>
      </c>
      <c r="T22" s="299">
        <v>6</v>
      </c>
      <c r="U22" s="299">
        <v>6</v>
      </c>
      <c r="V22" s="299">
        <v>2</v>
      </c>
      <c r="W22" s="299">
        <v>1</v>
      </c>
      <c r="X22" s="299">
        <v>2</v>
      </c>
      <c r="Y22" s="299">
        <v>2</v>
      </c>
      <c r="Z22" s="299">
        <v>2</v>
      </c>
      <c r="AA22" s="299">
        <v>5</v>
      </c>
      <c r="AB22" s="299">
        <v>4</v>
      </c>
      <c r="AC22" s="249"/>
      <c r="AD22" s="249"/>
    </row>
    <row r="23" spans="1:30">
      <c r="A23" s="297" t="s">
        <v>22</v>
      </c>
      <c r="B23" s="300">
        <v>225</v>
      </c>
      <c r="C23" s="300">
        <v>227</v>
      </c>
      <c r="D23" s="300">
        <v>229</v>
      </c>
      <c r="E23" s="300">
        <v>230</v>
      </c>
      <c r="F23" s="300">
        <v>227</v>
      </c>
      <c r="G23" s="300">
        <v>233</v>
      </c>
      <c r="H23" s="300">
        <v>232</v>
      </c>
      <c r="I23" s="300">
        <v>240</v>
      </c>
      <c r="J23" s="300">
        <v>247</v>
      </c>
      <c r="K23" s="300">
        <v>248</v>
      </c>
      <c r="L23" s="300">
        <v>259</v>
      </c>
      <c r="M23" s="300">
        <v>250</v>
      </c>
      <c r="N23" s="249"/>
      <c r="O23" s="249"/>
      <c r="Q23" s="301">
        <v>262</v>
      </c>
      <c r="R23" s="301">
        <v>262</v>
      </c>
      <c r="S23" s="301">
        <v>254</v>
      </c>
      <c r="T23" s="301">
        <v>249</v>
      </c>
      <c r="U23" s="301">
        <v>247</v>
      </c>
      <c r="V23" s="301">
        <v>249</v>
      </c>
      <c r="W23" s="301">
        <v>248</v>
      </c>
      <c r="X23" s="301">
        <v>237</v>
      </c>
      <c r="Y23" s="301">
        <v>237</v>
      </c>
      <c r="Z23" s="301">
        <v>237</v>
      </c>
      <c r="AA23" s="301">
        <v>228</v>
      </c>
      <c r="AB23" s="301">
        <v>217</v>
      </c>
      <c r="AC23" s="249"/>
      <c r="AD23" s="249"/>
    </row>
    <row r="24" spans="1:30">
      <c r="A24" s="297" t="s">
        <v>23</v>
      </c>
      <c r="B24" s="271">
        <f t="shared" ref="B24:M24" si="3">B22/B23</f>
        <v>1.3333333333333334E-2</v>
      </c>
      <c r="C24" s="271">
        <f t="shared" si="3"/>
        <v>4.4052863436123352E-3</v>
      </c>
      <c r="D24" s="271">
        <f t="shared" si="3"/>
        <v>1.7467248908296942E-2</v>
      </c>
      <c r="E24" s="271">
        <f t="shared" si="3"/>
        <v>8.6956521739130436E-3</v>
      </c>
      <c r="F24" s="271">
        <f t="shared" si="3"/>
        <v>2.643171806167401E-2</v>
      </c>
      <c r="G24" s="271">
        <f t="shared" si="3"/>
        <v>1.7167381974248927E-2</v>
      </c>
      <c r="H24" s="271">
        <f t="shared" si="3"/>
        <v>8.6206896551724137E-3</v>
      </c>
      <c r="I24" s="271">
        <f t="shared" si="3"/>
        <v>2.0833333333333332E-2</v>
      </c>
      <c r="J24" s="271">
        <f t="shared" si="3"/>
        <v>8.0971659919028341E-3</v>
      </c>
      <c r="K24" s="271">
        <f t="shared" si="3"/>
        <v>8.0645161290322578E-3</v>
      </c>
      <c r="L24" s="271">
        <f t="shared" si="3"/>
        <v>1.5444015444015444E-2</v>
      </c>
      <c r="M24" s="271">
        <f t="shared" si="3"/>
        <v>1.2E-2</v>
      </c>
      <c r="N24" s="249"/>
      <c r="O24" s="249"/>
      <c r="Q24" s="274">
        <f t="shared" ref="Q24:AB24" si="4">Q22/Q23</f>
        <v>3.8167938931297708E-3</v>
      </c>
      <c r="R24" s="274">
        <f t="shared" si="4"/>
        <v>2.2900763358778626E-2</v>
      </c>
      <c r="S24" s="274">
        <f t="shared" si="4"/>
        <v>1.1811023622047244E-2</v>
      </c>
      <c r="T24" s="274">
        <f t="shared" si="4"/>
        <v>2.4096385542168676E-2</v>
      </c>
      <c r="U24" s="274">
        <f t="shared" si="4"/>
        <v>2.4291497975708502E-2</v>
      </c>
      <c r="V24" s="274">
        <f t="shared" si="4"/>
        <v>8.0321285140562242E-3</v>
      </c>
      <c r="W24" s="274">
        <f t="shared" si="4"/>
        <v>4.0322580645161289E-3</v>
      </c>
      <c r="X24" s="274">
        <f t="shared" si="4"/>
        <v>8.4388185654008432E-3</v>
      </c>
      <c r="Y24" s="274">
        <f t="shared" si="4"/>
        <v>8.4388185654008432E-3</v>
      </c>
      <c r="Z24" s="274">
        <f t="shared" si="4"/>
        <v>8.4388185654008432E-3</v>
      </c>
      <c r="AA24" s="274">
        <f t="shared" si="4"/>
        <v>2.1929824561403508E-2</v>
      </c>
      <c r="AB24" s="274">
        <f t="shared" si="4"/>
        <v>1.8433179723502304E-2</v>
      </c>
      <c r="AC24" s="249"/>
      <c r="AD24" s="249"/>
    </row>
  </sheetData>
  <mergeCells count="3">
    <mergeCell ref="B2:O2"/>
    <mergeCell ref="Q2:AD2"/>
    <mergeCell ref="AF2:AS2"/>
  </mergeCells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4CF8-4B67-4481-A621-B85FD063F221}">
  <sheetPr>
    <tabColor rgb="FF00B050"/>
    <pageSetUpPr fitToPage="1"/>
  </sheetPr>
  <dimension ref="A2:CJ742"/>
  <sheetViews>
    <sheetView showGridLines="0" topLeftCell="O1" zoomScale="70" zoomScaleNormal="70" workbookViewId="0">
      <selection activeCell="AD26" sqref="AD26"/>
    </sheetView>
  </sheetViews>
  <sheetFormatPr defaultColWidth="9.140625" defaultRowHeight="15.75"/>
  <cols>
    <col min="1" max="1" width="66.7109375" style="22" bestFit="1" customWidth="1"/>
    <col min="2" max="2" width="7.28515625" style="22" bestFit="1" customWidth="1"/>
    <col min="3" max="3" width="8.140625" style="22" bestFit="1" customWidth="1"/>
    <col min="4" max="8" width="7.28515625" style="22" bestFit="1" customWidth="1"/>
    <col min="9" max="9" width="7.7109375" style="22" bestFit="1" customWidth="1"/>
    <col min="10" max="10" width="11.140625" style="22" bestFit="1" customWidth="1"/>
    <col min="11" max="11" width="8.5703125" style="22" bestFit="1" customWidth="1"/>
    <col min="12" max="12" width="10.7109375" style="22" bestFit="1" customWidth="1"/>
    <col min="13" max="13" width="10.42578125" style="22" bestFit="1" customWidth="1"/>
    <col min="14" max="14" width="21.42578125" style="22" bestFit="1" customWidth="1"/>
    <col min="15" max="15" width="27.140625" style="22" bestFit="1" customWidth="1"/>
    <col min="16" max="16" width="9.140625" style="22" customWidth="1"/>
    <col min="17" max="17" width="7.28515625" style="22" bestFit="1" customWidth="1"/>
    <col min="18" max="18" width="8.140625" style="22" bestFit="1" customWidth="1"/>
    <col min="19" max="23" width="7.28515625" style="22" bestFit="1" customWidth="1"/>
    <col min="24" max="24" width="7.7109375" style="22" bestFit="1" customWidth="1"/>
    <col min="25" max="25" width="11.140625" style="22" bestFit="1" customWidth="1"/>
    <col min="26" max="26" width="8.5703125" style="22" bestFit="1" customWidth="1"/>
    <col min="27" max="27" width="10.7109375" style="22" bestFit="1" customWidth="1"/>
    <col min="28" max="28" width="10.42578125" style="22" bestFit="1" customWidth="1"/>
    <col min="29" max="29" width="22.42578125" style="22" bestFit="1" customWidth="1"/>
    <col min="30" max="30" width="16.42578125" style="22" bestFit="1" customWidth="1"/>
    <col min="31" max="31" width="9.140625" style="22" customWidth="1"/>
    <col min="32" max="39" width="9.7109375" style="22" bestFit="1" customWidth="1"/>
    <col min="40" max="40" width="13.42578125" style="22" bestFit="1" customWidth="1"/>
    <col min="41" max="41" width="10.28515625" style="22" bestFit="1" customWidth="1"/>
    <col min="42" max="42" width="12.5703125" style="22" bestFit="1" customWidth="1"/>
    <col min="43" max="43" width="12.42578125" style="22" bestFit="1" customWidth="1"/>
    <col min="44" max="44" width="26.140625" style="22" bestFit="1" customWidth="1"/>
    <col min="45" max="45" width="21.85546875" style="22" bestFit="1" customWidth="1"/>
    <col min="46" max="88" width="9.140625" style="22" customWidth="1"/>
    <col min="89" max="89" width="9.140625" style="23" customWidth="1"/>
    <col min="90" max="16384" width="9.140625" style="23"/>
  </cols>
  <sheetData>
    <row r="2" spans="1:45" s="20" customFormat="1" ht="27.6" customHeight="1">
      <c r="A2" s="4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 spans="1:45" s="20" customFormat="1" ht="20.25" customHeight="1">
      <c r="A3" s="21"/>
      <c r="B3" s="315">
        <v>2022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19"/>
      <c r="Q3" s="315">
        <v>2023</v>
      </c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F3" s="315">
        <v>2024</v>
      </c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</row>
    <row r="4" spans="1:45" s="22" customFormat="1" ht="27.6" customHeight="1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45" s="22" customFormat="1" ht="15.75" customHeight="1" thickBot="1"/>
    <row r="6" spans="1:45" s="22" customFormat="1" ht="19.5" customHeight="1" thickTop="1">
      <c r="A6" s="1" t="s">
        <v>26</v>
      </c>
      <c r="B6" s="24" t="s">
        <v>1</v>
      </c>
      <c r="C6" s="24" t="s">
        <v>27</v>
      </c>
      <c r="D6" s="24" t="s">
        <v>28</v>
      </c>
      <c r="E6" s="24" t="s">
        <v>29</v>
      </c>
      <c r="F6" s="24" t="s">
        <v>30</v>
      </c>
      <c r="G6" s="24" t="s">
        <v>31</v>
      </c>
      <c r="H6" s="24" t="s">
        <v>32</v>
      </c>
      <c r="I6" s="24" t="s">
        <v>33</v>
      </c>
      <c r="J6" s="24" t="s">
        <v>34</v>
      </c>
      <c r="K6" s="24" t="s">
        <v>35</v>
      </c>
      <c r="L6" s="24" t="s">
        <v>36</v>
      </c>
      <c r="M6" s="24" t="s">
        <v>37</v>
      </c>
      <c r="N6" s="24" t="s">
        <v>38</v>
      </c>
      <c r="O6" s="24" t="s">
        <v>14</v>
      </c>
      <c r="Q6" s="24" t="s">
        <v>1</v>
      </c>
      <c r="R6" s="24" t="s">
        <v>27</v>
      </c>
      <c r="S6" s="24" t="s">
        <v>28</v>
      </c>
      <c r="T6" s="24" t="s">
        <v>29</v>
      </c>
      <c r="U6" s="24" t="s">
        <v>30</v>
      </c>
      <c r="V6" s="24" t="s">
        <v>31</v>
      </c>
      <c r="W6" s="24" t="s">
        <v>32</v>
      </c>
      <c r="X6" s="24" t="s">
        <v>33</v>
      </c>
      <c r="Y6" s="24" t="s">
        <v>34</v>
      </c>
      <c r="Z6" s="24" t="s">
        <v>35</v>
      </c>
      <c r="AA6" s="24" t="s">
        <v>36</v>
      </c>
      <c r="AB6" s="24" t="s">
        <v>37</v>
      </c>
      <c r="AC6" s="2" t="s">
        <v>38</v>
      </c>
      <c r="AD6" s="25" t="s">
        <v>14</v>
      </c>
      <c r="AF6" s="24" t="s">
        <v>1</v>
      </c>
      <c r="AG6" s="24" t="s">
        <v>27</v>
      </c>
      <c r="AH6" s="24" t="s">
        <v>28</v>
      </c>
      <c r="AI6" s="24" t="s">
        <v>29</v>
      </c>
      <c r="AJ6" s="24" t="s">
        <v>30</v>
      </c>
      <c r="AK6" s="24" t="s">
        <v>31</v>
      </c>
      <c r="AL6" s="24" t="s">
        <v>32</v>
      </c>
      <c r="AM6" s="24" t="s">
        <v>33</v>
      </c>
      <c r="AN6" s="24" t="s">
        <v>34</v>
      </c>
      <c r="AO6" s="24" t="s">
        <v>35</v>
      </c>
      <c r="AP6" s="24" t="s">
        <v>36</v>
      </c>
      <c r="AQ6" s="24" t="s">
        <v>37</v>
      </c>
      <c r="AR6" s="192" t="s">
        <v>38</v>
      </c>
      <c r="AS6" s="193" t="s">
        <v>237</v>
      </c>
    </row>
    <row r="7" spans="1:45" s="22" customFormat="1" ht="6.95" customHeight="1" thickBot="1">
      <c r="A7" s="1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5" s="22" customFormat="1" ht="38.25" customHeight="1" thickBot="1">
      <c r="A8" s="27" t="s">
        <v>39</v>
      </c>
      <c r="B8" s="30">
        <v>14</v>
      </c>
      <c r="C8" s="30">
        <v>17</v>
      </c>
      <c r="D8" s="30">
        <v>14</v>
      </c>
      <c r="E8" s="30">
        <v>15</v>
      </c>
      <c r="F8" s="30">
        <v>17</v>
      </c>
      <c r="G8" s="30">
        <v>10</v>
      </c>
      <c r="H8" s="30">
        <v>6</v>
      </c>
      <c r="I8" s="30">
        <v>7</v>
      </c>
      <c r="J8" s="30">
        <v>6</v>
      </c>
      <c r="K8" s="30">
        <v>9</v>
      </c>
      <c r="L8" s="30">
        <v>10</v>
      </c>
      <c r="M8" s="30">
        <v>6</v>
      </c>
      <c r="N8" s="30">
        <f>SUM(B8:M8)</f>
        <v>131</v>
      </c>
      <c r="O8" s="30" t="s">
        <v>40</v>
      </c>
      <c r="Q8" s="30">
        <v>4</v>
      </c>
      <c r="R8" s="31">
        <v>28</v>
      </c>
      <c r="S8" s="31">
        <v>11</v>
      </c>
      <c r="T8" s="30">
        <v>5</v>
      </c>
      <c r="U8" s="30">
        <v>17</v>
      </c>
      <c r="V8" s="31">
        <v>14</v>
      </c>
      <c r="W8" s="31">
        <v>15</v>
      </c>
      <c r="X8" s="30">
        <v>11</v>
      </c>
      <c r="Y8" s="31">
        <v>11</v>
      </c>
      <c r="Z8" s="31">
        <v>11</v>
      </c>
      <c r="AA8" s="30">
        <v>11</v>
      </c>
      <c r="AB8" s="32">
        <v>7</v>
      </c>
      <c r="AC8" s="33">
        <v>12.083333333333334</v>
      </c>
      <c r="AD8" s="29" t="s">
        <v>215</v>
      </c>
      <c r="AF8" s="194">
        <v>7</v>
      </c>
      <c r="AG8" s="195">
        <v>12</v>
      </c>
      <c r="AH8" s="195">
        <v>5</v>
      </c>
      <c r="AI8" s="194">
        <v>16</v>
      </c>
      <c r="AJ8" s="194">
        <v>11</v>
      </c>
      <c r="AK8" s="195">
        <v>8</v>
      </c>
      <c r="AL8" s="195">
        <v>15</v>
      </c>
      <c r="AM8" s="194">
        <v>6</v>
      </c>
      <c r="AN8" s="195">
        <v>11</v>
      </c>
      <c r="AO8" s="195">
        <v>11</v>
      </c>
      <c r="AP8" s="194">
        <v>5</v>
      </c>
      <c r="AQ8" s="196">
        <v>10</v>
      </c>
      <c r="AR8" s="197">
        <f>SUM(AF8:AQ8)</f>
        <v>117</v>
      </c>
      <c r="AS8" s="198" t="s">
        <v>238</v>
      </c>
    </row>
    <row r="9" spans="1:45" s="22" customFormat="1" ht="6.95" customHeight="1" thickBot="1">
      <c r="A9" s="34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</row>
    <row r="10" spans="1:45" s="22" customFormat="1" ht="30" customHeight="1" thickBot="1">
      <c r="A10" s="27" t="s">
        <v>41</v>
      </c>
      <c r="B10" s="38">
        <v>0</v>
      </c>
      <c r="C10" s="38">
        <v>4.3E-3</v>
      </c>
      <c r="D10" s="38">
        <v>4.7000000000000002E-3</v>
      </c>
      <c r="E10" s="38">
        <v>3.8E-3</v>
      </c>
      <c r="F10" s="38">
        <v>0</v>
      </c>
      <c r="G10" s="38">
        <v>3.7000000000000002E-3</v>
      </c>
      <c r="H10" s="38">
        <v>2.3999999999999998E-3</v>
      </c>
      <c r="I10" s="38">
        <v>0</v>
      </c>
      <c r="J10" s="38">
        <v>2.0999999999999999E-3</v>
      </c>
      <c r="K10" s="38">
        <v>0</v>
      </c>
      <c r="L10" s="38">
        <v>1.1000000000000001E-3</v>
      </c>
      <c r="M10" s="38">
        <v>2.5999999999999999E-3</v>
      </c>
      <c r="N10" s="38">
        <f>AVERAGE(B10:M10)</f>
        <v>2.0583333333333335E-3</v>
      </c>
      <c r="O10" s="38" t="s">
        <v>42</v>
      </c>
      <c r="Q10" s="38">
        <v>0</v>
      </c>
      <c r="R10" s="39">
        <v>0</v>
      </c>
      <c r="S10" s="39">
        <v>0</v>
      </c>
      <c r="T10" s="39">
        <v>6.329113924050633E-4</v>
      </c>
      <c r="U10" s="39">
        <v>5.4436581382689172E-4</v>
      </c>
      <c r="V10" s="39">
        <v>1.2158054711246201E-3</v>
      </c>
      <c r="W10" s="39">
        <v>2.4067388688327317E-3</v>
      </c>
      <c r="X10" s="39">
        <v>0</v>
      </c>
      <c r="Y10" s="39">
        <v>1.2610340479192938E-3</v>
      </c>
      <c r="Z10" s="39">
        <v>5.9171597633136095E-4</v>
      </c>
      <c r="AA10" s="39">
        <v>1.2033694344163659E-3</v>
      </c>
      <c r="AB10" s="39">
        <v>0</v>
      </c>
      <c r="AC10" s="36">
        <v>6.5466175040469396E-4</v>
      </c>
      <c r="AD10" s="37" t="s">
        <v>42</v>
      </c>
      <c r="AF10" s="199">
        <v>0</v>
      </c>
      <c r="AG10" s="200">
        <v>1.0000000000000001E-5</v>
      </c>
      <c r="AH10" s="200">
        <v>0</v>
      </c>
      <c r="AI10" s="200">
        <v>0</v>
      </c>
      <c r="AJ10" s="200">
        <v>2.0000000000000002E-5</v>
      </c>
      <c r="AK10" s="200">
        <v>0</v>
      </c>
      <c r="AL10" s="200">
        <v>1.0000000000000001E-5</v>
      </c>
      <c r="AM10" s="200">
        <v>1E-3</v>
      </c>
      <c r="AN10" s="200">
        <v>0</v>
      </c>
      <c r="AO10" s="200">
        <v>1.0000000000000001E-5</v>
      </c>
      <c r="AP10" s="200">
        <v>0</v>
      </c>
      <c r="AQ10" s="200">
        <v>0</v>
      </c>
      <c r="AR10" s="201">
        <f>AVERAGE(AF10:AQ10)</f>
        <v>8.7500000000000013E-5</v>
      </c>
      <c r="AS10" s="202" t="s">
        <v>42</v>
      </c>
    </row>
    <row r="11" spans="1:45" s="22" customFormat="1" ht="6.95" customHeight="1" thickBot="1">
      <c r="A11" s="34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</row>
    <row r="12" spans="1:45" s="22" customFormat="1" ht="30" customHeight="1" thickBot="1">
      <c r="A12" s="27" t="s">
        <v>43</v>
      </c>
      <c r="B12" s="41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f>AVERAGE(B12:M12)</f>
        <v>0</v>
      </c>
      <c r="O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  <c r="AC12" s="42">
        <v>1</v>
      </c>
      <c r="AD12" s="43">
        <v>0</v>
      </c>
      <c r="AF12" s="203">
        <v>0</v>
      </c>
      <c r="AG12" s="203">
        <v>0</v>
      </c>
      <c r="AH12" s="203">
        <v>0</v>
      </c>
      <c r="AI12" s="203">
        <v>0</v>
      </c>
      <c r="AJ12" s="203">
        <v>0</v>
      </c>
      <c r="AK12" s="203">
        <v>0</v>
      </c>
      <c r="AL12" s="203">
        <v>0</v>
      </c>
      <c r="AM12" s="203">
        <v>0</v>
      </c>
      <c r="AN12" s="203">
        <v>0</v>
      </c>
      <c r="AO12" s="203">
        <v>0</v>
      </c>
      <c r="AP12" s="203">
        <v>0</v>
      </c>
      <c r="AQ12" s="203">
        <v>0</v>
      </c>
      <c r="AR12" s="204">
        <f>AVERAGE(AF12:AQ12)</f>
        <v>0</v>
      </c>
      <c r="AS12" s="205">
        <v>0</v>
      </c>
    </row>
    <row r="13" spans="1:45" s="22" customFormat="1" ht="27.75" customHeight="1" thickBot="1"/>
    <row r="14" spans="1:45" s="22" customFormat="1" ht="19.5" customHeight="1" thickTop="1">
      <c r="A14" s="1" t="s">
        <v>44</v>
      </c>
      <c r="B14" s="24" t="s">
        <v>1</v>
      </c>
      <c r="C14" s="24" t="s">
        <v>27</v>
      </c>
      <c r="D14" s="24" t="s">
        <v>28</v>
      </c>
      <c r="E14" s="24" t="s">
        <v>29</v>
      </c>
      <c r="F14" s="24" t="s">
        <v>30</v>
      </c>
      <c r="G14" s="24" t="s">
        <v>31</v>
      </c>
      <c r="H14" s="24" t="s">
        <v>32</v>
      </c>
      <c r="I14" s="24" t="s">
        <v>33</v>
      </c>
      <c r="J14" s="24" t="s">
        <v>34</v>
      </c>
      <c r="K14" s="24" t="s">
        <v>35</v>
      </c>
      <c r="L14" s="24" t="s">
        <v>36</v>
      </c>
      <c r="M14" s="24" t="s">
        <v>37</v>
      </c>
      <c r="N14" s="24" t="s">
        <v>38</v>
      </c>
      <c r="O14" s="24" t="s">
        <v>14</v>
      </c>
      <c r="Q14" s="24" t="s">
        <v>1</v>
      </c>
      <c r="R14" s="24" t="s">
        <v>27</v>
      </c>
      <c r="S14" s="24" t="s">
        <v>28</v>
      </c>
      <c r="T14" s="24" t="s">
        <v>29</v>
      </c>
      <c r="U14" s="24" t="s">
        <v>30</v>
      </c>
      <c r="V14" s="24" t="s">
        <v>31</v>
      </c>
      <c r="W14" s="24" t="s">
        <v>32</v>
      </c>
      <c r="X14" s="24" t="s">
        <v>33</v>
      </c>
      <c r="Y14" s="24" t="s">
        <v>34</v>
      </c>
      <c r="Z14" s="24" t="s">
        <v>35</v>
      </c>
      <c r="AA14" s="24" t="s">
        <v>36</v>
      </c>
      <c r="AB14" s="24" t="s">
        <v>37</v>
      </c>
      <c r="AC14" s="2" t="s">
        <v>38</v>
      </c>
      <c r="AD14" s="25" t="s">
        <v>14</v>
      </c>
      <c r="AF14" s="24" t="s">
        <v>1</v>
      </c>
      <c r="AG14" s="24" t="s">
        <v>27</v>
      </c>
      <c r="AH14" s="24" t="s">
        <v>28</v>
      </c>
      <c r="AI14" s="24" t="s">
        <v>29</v>
      </c>
      <c r="AJ14" s="24" t="s">
        <v>30</v>
      </c>
      <c r="AK14" s="24" t="s">
        <v>31</v>
      </c>
      <c r="AL14" s="24" t="s">
        <v>32</v>
      </c>
      <c r="AM14" s="24" t="s">
        <v>33</v>
      </c>
      <c r="AN14" s="24" t="s">
        <v>34</v>
      </c>
      <c r="AO14" s="24" t="s">
        <v>35</v>
      </c>
      <c r="AP14" s="24" t="s">
        <v>36</v>
      </c>
      <c r="AQ14" s="24" t="s">
        <v>37</v>
      </c>
      <c r="AR14" s="192" t="s">
        <v>38</v>
      </c>
      <c r="AS14" s="193" t="s">
        <v>237</v>
      </c>
    </row>
    <row r="15" spans="1:45" s="22" customFormat="1" ht="6.95" customHeight="1" thickBot="1">
      <c r="A15" s="1"/>
    </row>
    <row r="16" spans="1:45" s="22" customFormat="1" ht="30" customHeight="1" thickBot="1">
      <c r="A16" s="27" t="s">
        <v>45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>SUM(B16:M16)</f>
        <v>0</v>
      </c>
      <c r="O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28">
        <v>0</v>
      </c>
      <c r="AD16" s="44">
        <v>0</v>
      </c>
      <c r="AF16" s="194">
        <v>0</v>
      </c>
      <c r="AG16" s="194">
        <v>0</v>
      </c>
      <c r="AH16" s="194">
        <v>0</v>
      </c>
      <c r="AI16" s="194">
        <v>0</v>
      </c>
      <c r="AJ16" s="194">
        <v>0</v>
      </c>
      <c r="AK16" s="194">
        <v>0</v>
      </c>
      <c r="AL16" s="194">
        <v>0</v>
      </c>
      <c r="AM16" s="194">
        <v>0</v>
      </c>
      <c r="AN16" s="194">
        <v>0</v>
      </c>
      <c r="AO16" s="194">
        <v>0</v>
      </c>
      <c r="AP16" s="194">
        <v>0</v>
      </c>
      <c r="AQ16" s="194">
        <v>0</v>
      </c>
      <c r="AR16" s="197">
        <f>SUM(AF16:AQ16)</f>
        <v>0</v>
      </c>
      <c r="AS16" s="206">
        <v>0</v>
      </c>
    </row>
    <row r="17" spans="1:45" s="22" customFormat="1" ht="46.5" customHeight="1" thickBot="1"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</row>
    <row r="18" spans="1:45" s="22" customFormat="1" ht="19.5" customHeight="1" thickTop="1">
      <c r="A18" s="1" t="s">
        <v>46</v>
      </c>
      <c r="B18" s="24" t="s">
        <v>1</v>
      </c>
      <c r="C18" s="24" t="s">
        <v>27</v>
      </c>
      <c r="D18" s="24" t="s">
        <v>28</v>
      </c>
      <c r="E18" s="24" t="s">
        <v>29</v>
      </c>
      <c r="F18" s="24" t="s">
        <v>30</v>
      </c>
      <c r="G18" s="24" t="s">
        <v>31</v>
      </c>
      <c r="H18" s="24" t="s">
        <v>32</v>
      </c>
      <c r="I18" s="24" t="s">
        <v>33</v>
      </c>
      <c r="J18" s="24" t="s">
        <v>34</v>
      </c>
      <c r="K18" s="24" t="s">
        <v>35</v>
      </c>
      <c r="L18" s="24" t="s">
        <v>36</v>
      </c>
      <c r="M18" s="24" t="s">
        <v>37</v>
      </c>
      <c r="N18" s="24" t="s">
        <v>38</v>
      </c>
      <c r="O18" s="24" t="s">
        <v>14</v>
      </c>
      <c r="Q18" s="24" t="s">
        <v>1</v>
      </c>
      <c r="R18" s="24" t="s">
        <v>27</v>
      </c>
      <c r="S18" s="24" t="s">
        <v>28</v>
      </c>
      <c r="T18" s="24" t="s">
        <v>29</v>
      </c>
      <c r="U18" s="24" t="s">
        <v>30</v>
      </c>
      <c r="V18" s="24" t="s">
        <v>31</v>
      </c>
      <c r="W18" s="24" t="s">
        <v>32</v>
      </c>
      <c r="X18" s="24" t="s">
        <v>33</v>
      </c>
      <c r="Y18" s="24" t="s">
        <v>34</v>
      </c>
      <c r="Z18" s="24" t="s">
        <v>35</v>
      </c>
      <c r="AA18" s="24" t="s">
        <v>36</v>
      </c>
      <c r="AB18" s="24" t="s">
        <v>37</v>
      </c>
      <c r="AC18" s="2" t="s">
        <v>38</v>
      </c>
      <c r="AD18" s="25" t="s">
        <v>14</v>
      </c>
      <c r="AF18" s="24" t="s">
        <v>1</v>
      </c>
      <c r="AG18" s="24" t="s">
        <v>27</v>
      </c>
      <c r="AH18" s="24" t="s">
        <v>28</v>
      </c>
      <c r="AI18" s="24" t="s">
        <v>29</v>
      </c>
      <c r="AJ18" s="24" t="s">
        <v>30</v>
      </c>
      <c r="AK18" s="24" t="s">
        <v>31</v>
      </c>
      <c r="AL18" s="24" t="s">
        <v>32</v>
      </c>
      <c r="AM18" s="24" t="s">
        <v>33</v>
      </c>
      <c r="AN18" s="24" t="s">
        <v>34</v>
      </c>
      <c r="AO18" s="24" t="s">
        <v>35</v>
      </c>
      <c r="AP18" s="24" t="s">
        <v>36</v>
      </c>
      <c r="AQ18" s="24" t="s">
        <v>37</v>
      </c>
      <c r="AR18" s="192" t="s">
        <v>38</v>
      </c>
      <c r="AS18" s="193" t="s">
        <v>237</v>
      </c>
    </row>
    <row r="19" spans="1:45" s="22" customFormat="1" ht="6.95" customHeight="1" thickBot="1">
      <c r="A19" s="1"/>
    </row>
    <row r="20" spans="1:45" s="22" customFormat="1" ht="30" customHeight="1" thickBot="1">
      <c r="A20" s="27" t="s">
        <v>47</v>
      </c>
      <c r="B20" s="45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>SUM(B20:M20)</f>
        <v>0</v>
      </c>
      <c r="O20" s="45">
        <v>0</v>
      </c>
      <c r="Q20" s="45">
        <v>0</v>
      </c>
      <c r="R20" s="45">
        <v>0</v>
      </c>
      <c r="S20" s="45">
        <v>0</v>
      </c>
      <c r="T20" s="46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28">
        <v>0</v>
      </c>
      <c r="AD20" s="44">
        <v>0</v>
      </c>
      <c r="AF20" s="194">
        <v>0</v>
      </c>
      <c r="AG20" s="194">
        <v>0</v>
      </c>
      <c r="AH20" s="194">
        <v>0</v>
      </c>
      <c r="AI20" s="195">
        <v>0</v>
      </c>
      <c r="AJ20" s="194">
        <v>0</v>
      </c>
      <c r="AK20" s="194">
        <v>0</v>
      </c>
      <c r="AL20" s="194">
        <v>0</v>
      </c>
      <c r="AM20" s="194">
        <v>0</v>
      </c>
      <c r="AN20" s="194">
        <v>0</v>
      </c>
      <c r="AO20" s="194">
        <v>0</v>
      </c>
      <c r="AP20" s="194">
        <v>0</v>
      </c>
      <c r="AQ20" s="194">
        <v>0</v>
      </c>
      <c r="AR20" s="197">
        <f>SUM(AF20:AQ20)</f>
        <v>0</v>
      </c>
      <c r="AS20" s="206">
        <v>0</v>
      </c>
    </row>
    <row r="21" spans="1:45" s="22" customFormat="1" ht="30.75" customHeight="1" thickBot="1">
      <c r="A21" s="34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7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7"/>
    </row>
    <row r="22" spans="1:45" s="22" customFormat="1" ht="19.5" customHeight="1" thickTop="1">
      <c r="A22" s="1" t="s">
        <v>48</v>
      </c>
      <c r="B22" s="24" t="s">
        <v>1</v>
      </c>
      <c r="C22" s="24" t="s">
        <v>27</v>
      </c>
      <c r="D22" s="24" t="s">
        <v>28</v>
      </c>
      <c r="E22" s="24" t="s">
        <v>29</v>
      </c>
      <c r="F22" s="24" t="s">
        <v>30</v>
      </c>
      <c r="G22" s="24" t="s">
        <v>31</v>
      </c>
      <c r="H22" s="24" t="s">
        <v>32</v>
      </c>
      <c r="I22" s="24" t="s">
        <v>33</v>
      </c>
      <c r="J22" s="24" t="s">
        <v>34</v>
      </c>
      <c r="K22" s="24" t="s">
        <v>35</v>
      </c>
      <c r="L22" s="24" t="s">
        <v>36</v>
      </c>
      <c r="M22" s="24" t="s">
        <v>37</v>
      </c>
      <c r="N22" s="24" t="s">
        <v>38</v>
      </c>
      <c r="O22" s="24" t="s">
        <v>14</v>
      </c>
      <c r="Q22" s="24" t="s">
        <v>1</v>
      </c>
      <c r="R22" s="24" t="s">
        <v>27</v>
      </c>
      <c r="S22" s="24" t="s">
        <v>28</v>
      </c>
      <c r="T22" s="24" t="s">
        <v>29</v>
      </c>
      <c r="U22" s="24" t="s">
        <v>30</v>
      </c>
      <c r="V22" s="24" t="s">
        <v>31</v>
      </c>
      <c r="W22" s="24" t="s">
        <v>32</v>
      </c>
      <c r="X22" s="24" t="s">
        <v>33</v>
      </c>
      <c r="Y22" s="24" t="s">
        <v>34</v>
      </c>
      <c r="Z22" s="24" t="s">
        <v>35</v>
      </c>
      <c r="AA22" s="24" t="s">
        <v>36</v>
      </c>
      <c r="AB22" s="24" t="s">
        <v>37</v>
      </c>
      <c r="AC22" s="2" t="s">
        <v>38</v>
      </c>
      <c r="AD22" s="25" t="s">
        <v>14</v>
      </c>
      <c r="AF22" s="24" t="s">
        <v>1</v>
      </c>
      <c r="AG22" s="24" t="s">
        <v>27</v>
      </c>
      <c r="AH22" s="24" t="s">
        <v>28</v>
      </c>
      <c r="AI22" s="24" t="s">
        <v>29</v>
      </c>
      <c r="AJ22" s="24" t="s">
        <v>30</v>
      </c>
      <c r="AK22" s="24" t="s">
        <v>31</v>
      </c>
      <c r="AL22" s="24" t="s">
        <v>32</v>
      </c>
      <c r="AM22" s="24" t="s">
        <v>33</v>
      </c>
      <c r="AN22" s="24" t="s">
        <v>34</v>
      </c>
      <c r="AO22" s="24" t="s">
        <v>35</v>
      </c>
      <c r="AP22" s="24" t="s">
        <v>36</v>
      </c>
      <c r="AQ22" s="24" t="s">
        <v>37</v>
      </c>
      <c r="AR22" s="192" t="s">
        <v>38</v>
      </c>
      <c r="AS22" s="193" t="s">
        <v>237</v>
      </c>
    </row>
    <row r="23" spans="1:45" s="22" customFormat="1" ht="6.95" customHeight="1" thickBot="1">
      <c r="A23" s="1"/>
    </row>
    <row r="24" spans="1:45" s="22" customFormat="1" ht="30" customHeight="1" thickBot="1">
      <c r="A24" s="27" t="s">
        <v>49</v>
      </c>
      <c r="B24" s="45">
        <v>0</v>
      </c>
      <c r="C24" s="45">
        <v>0</v>
      </c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f>SUM(B24:M24)</f>
        <v>0</v>
      </c>
      <c r="O24" s="45">
        <v>0</v>
      </c>
      <c r="Q24" s="45">
        <v>0</v>
      </c>
      <c r="R24" s="45">
        <v>0</v>
      </c>
      <c r="S24" s="45">
        <v>0</v>
      </c>
      <c r="T24" s="46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28">
        <v>0</v>
      </c>
      <c r="AD24" s="44">
        <v>0</v>
      </c>
      <c r="AF24" s="194">
        <v>0</v>
      </c>
      <c r="AG24" s="194">
        <v>0</v>
      </c>
      <c r="AH24" s="194">
        <v>0</v>
      </c>
      <c r="AI24" s="195">
        <v>0</v>
      </c>
      <c r="AJ24" s="194">
        <v>0</v>
      </c>
      <c r="AK24" s="194">
        <v>0</v>
      </c>
      <c r="AL24" s="194">
        <v>0</v>
      </c>
      <c r="AM24" s="194">
        <v>0</v>
      </c>
      <c r="AN24" s="194">
        <v>0</v>
      </c>
      <c r="AO24" s="194">
        <v>0</v>
      </c>
      <c r="AP24" s="194">
        <v>0</v>
      </c>
      <c r="AQ24" s="194">
        <v>0</v>
      </c>
      <c r="AR24" s="197">
        <f>SUM(AF24:AQ24)</f>
        <v>0</v>
      </c>
      <c r="AS24" s="206">
        <v>0</v>
      </c>
    </row>
    <row r="25" spans="1:45" s="22" customFormat="1"/>
    <row r="26" spans="1:45" s="22" customFormat="1"/>
    <row r="27" spans="1:45" s="22" customFormat="1"/>
    <row r="28" spans="1:45" s="22" customFormat="1"/>
    <row r="29" spans="1:45" s="22" customFormat="1"/>
    <row r="30" spans="1:45" s="22" customFormat="1"/>
    <row r="31" spans="1:45" s="22" customFormat="1"/>
    <row r="32" spans="1:45" s="22" customFormat="1"/>
    <row r="33" s="22" customFormat="1"/>
    <row r="34" s="22" customFormat="1"/>
    <row r="35" s="22" customFormat="1"/>
    <row r="36" s="22" customFormat="1"/>
    <row r="37" s="22" customFormat="1"/>
    <row r="38" s="22" customFormat="1"/>
    <row r="39" s="22" customFormat="1"/>
    <row r="40" s="22" customFormat="1"/>
    <row r="41" s="22" customFormat="1"/>
    <row r="42" s="22" customFormat="1"/>
    <row r="43" s="22" customFormat="1"/>
    <row r="44" s="22" customFormat="1"/>
    <row r="45" s="22" customFormat="1"/>
    <row r="46" s="22" customFormat="1"/>
    <row r="47" s="22" customFormat="1"/>
    <row r="48" s="22" customFormat="1"/>
    <row r="49" s="22" customFormat="1"/>
    <row r="50" s="22" customFormat="1"/>
    <row r="51" s="22" customFormat="1"/>
    <row r="52" s="22" customFormat="1"/>
    <row r="53" s="22" customFormat="1"/>
    <row r="54" s="22" customFormat="1"/>
    <row r="55" s="22" customFormat="1"/>
    <row r="56" s="22" customFormat="1"/>
    <row r="57" s="22" customFormat="1"/>
    <row r="58" s="22" customFormat="1"/>
    <row r="59" s="22" customFormat="1"/>
    <row r="60" s="22" customFormat="1"/>
    <row r="61" s="22" customFormat="1"/>
    <row r="62" s="22" customFormat="1"/>
    <row r="63" s="22" customFormat="1"/>
    <row r="64" s="22" customFormat="1"/>
    <row r="65" s="22" customFormat="1"/>
    <row r="66" s="22" customFormat="1"/>
    <row r="67" s="22" customFormat="1"/>
    <row r="68" s="22" customFormat="1"/>
    <row r="69" s="22" customFormat="1"/>
    <row r="70" s="22" customFormat="1"/>
    <row r="71" s="22" customFormat="1"/>
    <row r="72" s="22" customFormat="1"/>
    <row r="73" s="22" customFormat="1"/>
    <row r="74" s="22" customFormat="1"/>
    <row r="75" s="22" customFormat="1"/>
    <row r="76" s="22" customFormat="1"/>
    <row r="77" s="22" customFormat="1"/>
    <row r="78" s="22" customFormat="1"/>
    <row r="79" s="22" customFormat="1"/>
    <row r="80" s="22" customFormat="1"/>
    <row r="81" s="22" customFormat="1"/>
    <row r="82" s="22" customFormat="1"/>
    <row r="83" s="22" customFormat="1"/>
    <row r="84" s="22" customFormat="1"/>
    <row r="85" s="22" customFormat="1"/>
    <row r="86" s="22" customFormat="1"/>
    <row r="87" s="22" customFormat="1"/>
    <row r="88" s="22" customFormat="1"/>
    <row r="89" s="22" customFormat="1"/>
    <row r="90" s="22" customFormat="1"/>
    <row r="91" s="22" customFormat="1"/>
    <row r="92" s="22" customFormat="1"/>
    <row r="93" s="22" customFormat="1"/>
    <row r="94" s="22" customFormat="1"/>
    <row r="95" s="22" customFormat="1"/>
    <row r="96" s="22" customFormat="1"/>
    <row r="97" s="22" customFormat="1"/>
    <row r="98" s="22" customFormat="1"/>
    <row r="99" s="22" customFormat="1"/>
    <row r="100" s="22" customFormat="1"/>
    <row r="101" s="22" customFormat="1"/>
    <row r="102" s="22" customFormat="1"/>
    <row r="103" s="22" customFormat="1"/>
    <row r="104" s="22" customFormat="1"/>
    <row r="105" s="22" customFormat="1"/>
    <row r="106" s="22" customFormat="1"/>
    <row r="107" s="22" customFormat="1"/>
    <row r="108" s="22" customFormat="1"/>
    <row r="109" s="22" customFormat="1"/>
    <row r="110" s="22" customFormat="1"/>
    <row r="111" s="22" customFormat="1"/>
    <row r="112" s="22" customFormat="1"/>
    <row r="113" s="22" customFormat="1"/>
    <row r="114" s="22" customFormat="1"/>
    <row r="115" s="22" customFormat="1"/>
    <row r="116" s="22" customFormat="1"/>
    <row r="117" s="22" customFormat="1"/>
    <row r="118" s="22" customFormat="1"/>
    <row r="119" s="22" customFormat="1"/>
    <row r="120" s="22" customFormat="1"/>
    <row r="121" s="22" customFormat="1"/>
    <row r="122" s="22" customFormat="1"/>
    <row r="123" s="22" customFormat="1"/>
    <row r="124" s="22" customFormat="1"/>
    <row r="125" s="22" customFormat="1"/>
    <row r="126" s="22" customFormat="1"/>
    <row r="127" s="22" customFormat="1"/>
    <row r="128" s="22" customFormat="1"/>
    <row r="129" s="22" customFormat="1"/>
    <row r="130" s="22" customFormat="1"/>
    <row r="131" s="22" customFormat="1"/>
    <row r="132" s="22" customFormat="1"/>
    <row r="133" s="22" customFormat="1"/>
    <row r="134" s="22" customFormat="1"/>
    <row r="135" s="22" customFormat="1"/>
    <row r="136" s="22" customFormat="1"/>
    <row r="137" s="22" customFormat="1"/>
    <row r="138" s="22" customFormat="1"/>
    <row r="139" s="22" customFormat="1"/>
    <row r="140" s="22" customFormat="1"/>
    <row r="141" s="22" customFormat="1"/>
    <row r="142" s="22" customFormat="1"/>
    <row r="143" s="22" customFormat="1"/>
    <row r="144" s="22" customFormat="1"/>
    <row r="145" s="22" customFormat="1"/>
    <row r="146" s="22" customFormat="1"/>
    <row r="147" s="22" customFormat="1"/>
    <row r="148" s="22" customFormat="1"/>
    <row r="149" s="22" customFormat="1"/>
    <row r="150" s="22" customFormat="1"/>
    <row r="151" s="22" customFormat="1"/>
    <row r="152" s="22" customFormat="1"/>
    <row r="153" s="22" customFormat="1"/>
    <row r="154" s="22" customFormat="1"/>
    <row r="155" s="22" customFormat="1"/>
    <row r="156" s="22" customFormat="1"/>
    <row r="157" s="22" customFormat="1"/>
    <row r="158" s="22" customFormat="1"/>
    <row r="159" s="22" customFormat="1"/>
    <row r="160" s="22" customFormat="1"/>
    <row r="161" s="22" customFormat="1"/>
    <row r="162" s="22" customFormat="1"/>
    <row r="163" s="22" customFormat="1"/>
    <row r="164" s="22" customFormat="1"/>
    <row r="165" s="22" customFormat="1"/>
    <row r="166" s="22" customFormat="1"/>
    <row r="167" s="22" customFormat="1"/>
    <row r="168" s="22" customFormat="1"/>
    <row r="169" s="22" customFormat="1"/>
    <row r="170" s="22" customFormat="1"/>
    <row r="171" s="22" customFormat="1"/>
    <row r="172" s="22" customFormat="1"/>
    <row r="173" s="22" customFormat="1"/>
    <row r="174" s="22" customFormat="1"/>
    <row r="175" s="22" customFormat="1"/>
    <row r="176" s="22" customFormat="1"/>
    <row r="177" s="22" customFormat="1"/>
    <row r="178" s="22" customFormat="1"/>
    <row r="179" s="22" customFormat="1"/>
    <row r="180" s="22" customFormat="1"/>
    <row r="181" s="22" customFormat="1"/>
    <row r="182" s="22" customFormat="1"/>
    <row r="183" s="22" customFormat="1"/>
    <row r="184" s="22" customFormat="1"/>
    <row r="185" s="22" customFormat="1"/>
    <row r="186" s="22" customFormat="1"/>
    <row r="187" s="22" customFormat="1"/>
    <row r="188" s="22" customFormat="1"/>
    <row r="189" s="22" customFormat="1"/>
    <row r="190" s="22" customFormat="1"/>
    <row r="191" s="22" customFormat="1"/>
    <row r="192" s="22" customFormat="1"/>
    <row r="193" s="22" customFormat="1"/>
    <row r="194" s="22" customFormat="1"/>
    <row r="195" s="22" customFormat="1"/>
    <row r="196" s="22" customFormat="1"/>
    <row r="197" s="22" customFormat="1"/>
    <row r="198" s="22" customFormat="1"/>
    <row r="199" s="22" customFormat="1"/>
    <row r="200" s="22" customFormat="1"/>
    <row r="201" s="22" customFormat="1"/>
    <row r="202" s="22" customFormat="1"/>
    <row r="203" s="22" customFormat="1"/>
    <row r="204" s="22" customFormat="1"/>
    <row r="205" s="22" customFormat="1"/>
    <row r="206" s="22" customFormat="1"/>
    <row r="207" s="22" customFormat="1"/>
    <row r="208" s="22" customFormat="1"/>
    <row r="209" s="22" customFormat="1"/>
    <row r="210" s="22" customFormat="1"/>
    <row r="211" s="22" customFormat="1"/>
    <row r="212" s="22" customFormat="1"/>
    <row r="213" s="22" customFormat="1"/>
    <row r="214" s="22" customFormat="1"/>
    <row r="215" s="22" customFormat="1"/>
    <row r="216" s="22" customFormat="1"/>
    <row r="217" s="22" customFormat="1"/>
    <row r="218" s="22" customFormat="1"/>
    <row r="219" s="22" customFormat="1"/>
    <row r="220" s="22" customFormat="1"/>
    <row r="221" s="22" customFormat="1"/>
    <row r="222" s="22" customFormat="1"/>
    <row r="223" s="22" customFormat="1"/>
    <row r="224" s="22" customFormat="1"/>
    <row r="225" s="22" customFormat="1"/>
    <row r="226" s="22" customFormat="1"/>
    <row r="227" s="22" customFormat="1"/>
    <row r="228" s="22" customFormat="1"/>
    <row r="229" s="22" customFormat="1"/>
    <row r="230" s="22" customFormat="1"/>
    <row r="231" s="22" customFormat="1"/>
    <row r="232" s="22" customFormat="1"/>
    <row r="233" s="22" customFormat="1"/>
    <row r="234" s="22" customFormat="1"/>
    <row r="235" s="22" customFormat="1"/>
    <row r="236" s="22" customFormat="1"/>
    <row r="237" s="22" customFormat="1"/>
    <row r="238" s="22" customFormat="1"/>
    <row r="239" s="22" customFormat="1"/>
    <row r="240" s="22" customFormat="1"/>
    <row r="241" s="22" customFormat="1"/>
    <row r="242" s="22" customFormat="1"/>
    <row r="243" s="22" customFormat="1"/>
    <row r="244" s="22" customFormat="1"/>
    <row r="245" s="22" customFormat="1"/>
    <row r="246" s="22" customFormat="1"/>
    <row r="247" s="22" customFormat="1"/>
    <row r="248" s="22" customFormat="1"/>
    <row r="249" s="22" customFormat="1"/>
    <row r="250" s="22" customFormat="1"/>
    <row r="251" s="22" customFormat="1"/>
    <row r="252" s="22" customFormat="1"/>
    <row r="253" s="22" customFormat="1"/>
    <row r="254" s="22" customFormat="1"/>
    <row r="255" s="22" customFormat="1"/>
    <row r="256" s="22" customFormat="1"/>
    <row r="257" s="22" customFormat="1"/>
    <row r="258" s="22" customFormat="1"/>
    <row r="259" s="22" customFormat="1"/>
    <row r="260" s="22" customFormat="1"/>
    <row r="261" s="22" customFormat="1"/>
    <row r="262" s="22" customFormat="1"/>
    <row r="263" s="22" customFormat="1"/>
    <row r="264" s="22" customFormat="1"/>
    <row r="265" s="22" customFormat="1"/>
    <row r="266" s="22" customFormat="1"/>
    <row r="267" s="22" customFormat="1"/>
    <row r="268" s="22" customFormat="1"/>
    <row r="269" s="22" customFormat="1"/>
    <row r="270" s="22" customFormat="1"/>
    <row r="271" s="22" customFormat="1"/>
    <row r="272" s="22" customFormat="1"/>
    <row r="273" s="22" customFormat="1"/>
    <row r="274" s="22" customFormat="1"/>
    <row r="275" s="22" customFormat="1"/>
    <row r="276" s="22" customFormat="1"/>
    <row r="277" s="22" customFormat="1"/>
    <row r="278" s="22" customFormat="1"/>
    <row r="279" s="22" customFormat="1"/>
    <row r="280" s="22" customFormat="1"/>
    <row r="281" s="22" customFormat="1"/>
    <row r="282" s="22" customFormat="1"/>
    <row r="283" s="22" customFormat="1"/>
    <row r="284" s="22" customFormat="1"/>
    <row r="285" s="22" customFormat="1"/>
    <row r="286" s="22" customFormat="1"/>
    <row r="287" s="22" customFormat="1"/>
    <row r="288" s="22" customFormat="1"/>
    <row r="289" s="22" customFormat="1"/>
    <row r="290" s="22" customFormat="1"/>
    <row r="291" s="22" customFormat="1"/>
    <row r="292" s="22" customFormat="1"/>
    <row r="293" s="22" customFormat="1"/>
    <row r="294" s="22" customFormat="1"/>
    <row r="295" s="22" customFormat="1"/>
    <row r="296" s="22" customFormat="1"/>
    <row r="297" s="22" customFormat="1"/>
    <row r="298" s="22" customFormat="1"/>
    <row r="299" s="22" customFormat="1"/>
    <row r="300" s="22" customFormat="1"/>
    <row r="301" s="22" customFormat="1"/>
    <row r="302" s="22" customFormat="1"/>
    <row r="303" s="22" customFormat="1"/>
    <row r="304" s="22" customFormat="1"/>
    <row r="305" s="22" customFormat="1"/>
    <row r="306" s="22" customFormat="1"/>
    <row r="307" s="22" customFormat="1"/>
    <row r="308" s="22" customFormat="1"/>
    <row r="309" s="22" customFormat="1"/>
    <row r="310" s="22" customFormat="1"/>
    <row r="311" s="22" customFormat="1"/>
    <row r="312" s="22" customFormat="1"/>
    <row r="313" s="22" customFormat="1"/>
    <row r="314" s="22" customFormat="1"/>
    <row r="315" s="22" customFormat="1"/>
    <row r="316" s="22" customFormat="1"/>
    <row r="317" s="22" customFormat="1"/>
    <row r="318" s="22" customFormat="1"/>
    <row r="319" s="22" customFormat="1"/>
    <row r="320" s="22" customFormat="1"/>
    <row r="321" s="22" customFormat="1"/>
    <row r="322" s="22" customFormat="1"/>
    <row r="323" s="22" customFormat="1"/>
    <row r="324" s="22" customFormat="1"/>
    <row r="325" s="22" customFormat="1"/>
    <row r="326" s="22" customFormat="1"/>
    <row r="327" s="22" customFormat="1"/>
    <row r="328" s="22" customFormat="1"/>
    <row r="329" s="22" customFormat="1"/>
    <row r="330" s="22" customFormat="1"/>
    <row r="331" s="22" customFormat="1"/>
    <row r="332" s="22" customFormat="1"/>
    <row r="333" s="22" customFormat="1"/>
    <row r="334" s="22" customFormat="1"/>
    <row r="335" s="22" customFormat="1"/>
    <row r="336" s="22" customFormat="1"/>
    <row r="337" s="22" customFormat="1"/>
    <row r="338" s="22" customFormat="1"/>
    <row r="339" s="22" customFormat="1"/>
    <row r="340" s="22" customFormat="1"/>
    <row r="341" s="22" customFormat="1"/>
    <row r="342" s="22" customFormat="1"/>
    <row r="343" s="22" customFormat="1"/>
    <row r="344" s="22" customFormat="1"/>
    <row r="345" s="22" customFormat="1"/>
    <row r="346" s="22" customFormat="1"/>
    <row r="347" s="22" customFormat="1"/>
    <row r="348" s="22" customFormat="1"/>
    <row r="349" s="22" customFormat="1"/>
    <row r="350" s="22" customFormat="1"/>
    <row r="351" s="22" customFormat="1"/>
    <row r="352" s="22" customFormat="1"/>
    <row r="353" s="22" customFormat="1"/>
    <row r="354" s="22" customFormat="1"/>
    <row r="355" s="22" customFormat="1"/>
    <row r="356" s="22" customFormat="1"/>
    <row r="357" s="22" customFormat="1"/>
    <row r="358" s="22" customFormat="1"/>
    <row r="359" s="22" customFormat="1"/>
    <row r="360" s="22" customFormat="1"/>
    <row r="361" s="22" customFormat="1"/>
    <row r="362" s="22" customFormat="1"/>
    <row r="363" s="22" customFormat="1"/>
    <row r="364" s="22" customFormat="1"/>
    <row r="365" s="22" customFormat="1"/>
    <row r="366" s="22" customFormat="1"/>
    <row r="367" s="22" customFormat="1"/>
    <row r="368" s="22" customFormat="1"/>
    <row r="369" s="22" customFormat="1"/>
    <row r="370" s="22" customFormat="1"/>
    <row r="371" s="22" customFormat="1"/>
    <row r="372" s="22" customFormat="1"/>
    <row r="373" s="22" customFormat="1"/>
    <row r="374" s="22" customFormat="1"/>
    <row r="375" s="22" customFormat="1"/>
    <row r="376" s="22" customFormat="1"/>
    <row r="377" s="22" customFormat="1"/>
    <row r="378" s="22" customFormat="1"/>
    <row r="379" s="22" customFormat="1"/>
    <row r="380" s="22" customFormat="1"/>
    <row r="381" s="22" customFormat="1"/>
    <row r="382" s="22" customFormat="1"/>
    <row r="383" s="22" customFormat="1"/>
    <row r="384" s="22" customFormat="1"/>
    <row r="385" s="22" customFormat="1"/>
    <row r="386" s="22" customFormat="1"/>
    <row r="387" s="22" customFormat="1"/>
    <row r="388" s="22" customFormat="1"/>
    <row r="389" s="22" customFormat="1"/>
    <row r="390" s="22" customFormat="1"/>
    <row r="391" s="22" customFormat="1"/>
    <row r="392" s="22" customFormat="1"/>
    <row r="393" s="22" customFormat="1"/>
    <row r="394" s="22" customFormat="1"/>
    <row r="395" s="22" customFormat="1"/>
    <row r="396" s="22" customFormat="1"/>
    <row r="397" s="22" customFormat="1"/>
    <row r="398" s="22" customFormat="1"/>
    <row r="399" s="22" customFormat="1"/>
    <row r="400" s="22" customFormat="1"/>
    <row r="401" s="22" customFormat="1"/>
    <row r="402" s="22" customFormat="1"/>
    <row r="403" s="22" customFormat="1"/>
    <row r="404" s="22" customFormat="1"/>
    <row r="405" s="22" customFormat="1"/>
    <row r="406" s="22" customFormat="1"/>
    <row r="407" s="22" customFormat="1"/>
    <row r="408" s="22" customFormat="1"/>
    <row r="409" s="22" customFormat="1"/>
    <row r="410" s="22" customFormat="1"/>
    <row r="411" s="22" customFormat="1"/>
    <row r="412" s="22" customFormat="1"/>
    <row r="413" s="22" customFormat="1"/>
    <row r="414" s="22" customFormat="1"/>
    <row r="415" s="22" customFormat="1"/>
    <row r="416" s="22" customFormat="1"/>
    <row r="417" s="22" customFormat="1"/>
    <row r="418" s="22" customFormat="1"/>
    <row r="419" s="22" customFormat="1"/>
    <row r="420" s="22" customFormat="1"/>
    <row r="421" s="22" customFormat="1"/>
    <row r="422" s="22" customFormat="1"/>
    <row r="423" s="22" customFormat="1"/>
    <row r="424" s="22" customFormat="1"/>
    <row r="425" s="22" customFormat="1"/>
    <row r="426" s="22" customFormat="1"/>
    <row r="427" s="22" customFormat="1"/>
    <row r="428" s="22" customFormat="1"/>
    <row r="429" s="22" customFormat="1"/>
    <row r="430" s="22" customFormat="1"/>
    <row r="431" s="22" customFormat="1"/>
    <row r="432" s="22" customFormat="1"/>
    <row r="433" s="22" customFormat="1"/>
    <row r="434" s="22" customFormat="1"/>
    <row r="435" s="22" customFormat="1"/>
    <row r="436" s="22" customFormat="1"/>
    <row r="437" s="22" customFormat="1"/>
    <row r="438" s="22" customFormat="1"/>
    <row r="439" s="22" customFormat="1"/>
    <row r="440" s="22" customFormat="1"/>
    <row r="441" s="22" customFormat="1"/>
    <row r="442" s="22" customFormat="1"/>
    <row r="443" s="22" customFormat="1"/>
    <row r="444" s="22" customFormat="1"/>
    <row r="445" s="22" customFormat="1"/>
    <row r="446" s="22" customFormat="1"/>
    <row r="447" s="22" customFormat="1"/>
    <row r="448" s="22" customFormat="1"/>
    <row r="449" s="22" customFormat="1"/>
    <row r="450" s="22" customFormat="1"/>
    <row r="451" s="22" customFormat="1"/>
    <row r="452" s="22" customFormat="1"/>
    <row r="453" s="22" customFormat="1"/>
    <row r="454" s="22" customFormat="1"/>
    <row r="455" s="22" customFormat="1"/>
    <row r="456" s="22" customFormat="1"/>
    <row r="457" s="22" customFormat="1"/>
    <row r="458" s="22" customFormat="1"/>
    <row r="459" s="22" customFormat="1"/>
    <row r="460" s="22" customFormat="1"/>
    <row r="461" s="22" customFormat="1"/>
    <row r="462" s="22" customFormat="1"/>
    <row r="463" s="22" customFormat="1"/>
    <row r="464" s="22" customFormat="1"/>
    <row r="465" s="22" customFormat="1"/>
    <row r="466" s="22" customFormat="1"/>
    <row r="467" s="22" customFormat="1"/>
    <row r="468" s="22" customFormat="1"/>
    <row r="469" s="22" customFormat="1"/>
    <row r="470" s="22" customFormat="1"/>
    <row r="471" s="22" customFormat="1"/>
    <row r="472" s="22" customFormat="1"/>
    <row r="473" s="22" customFormat="1"/>
    <row r="474" s="22" customFormat="1"/>
    <row r="475" s="22" customFormat="1"/>
    <row r="476" s="22" customFormat="1"/>
    <row r="477" s="22" customFormat="1"/>
    <row r="478" s="22" customFormat="1"/>
    <row r="479" s="22" customFormat="1"/>
    <row r="480" s="22" customFormat="1"/>
    <row r="481" s="22" customFormat="1"/>
    <row r="482" s="22" customFormat="1"/>
    <row r="483" s="22" customFormat="1"/>
    <row r="484" s="22" customFormat="1"/>
    <row r="485" s="22" customFormat="1"/>
    <row r="486" s="22" customFormat="1"/>
    <row r="487" s="22" customFormat="1"/>
    <row r="488" s="22" customFormat="1"/>
    <row r="489" s="22" customFormat="1"/>
    <row r="490" s="22" customFormat="1"/>
    <row r="491" s="22" customFormat="1"/>
    <row r="492" s="22" customFormat="1"/>
    <row r="493" s="22" customFormat="1"/>
    <row r="494" s="22" customFormat="1"/>
    <row r="495" s="22" customFormat="1"/>
    <row r="496" s="22" customFormat="1"/>
    <row r="497" s="22" customFormat="1"/>
    <row r="498" s="22" customFormat="1"/>
    <row r="499" s="22" customFormat="1"/>
    <row r="500" s="22" customFormat="1"/>
    <row r="501" s="22" customFormat="1"/>
    <row r="502" s="22" customFormat="1"/>
    <row r="503" s="22" customFormat="1"/>
    <row r="504" s="22" customFormat="1"/>
    <row r="505" s="22" customFormat="1"/>
    <row r="506" s="22" customFormat="1"/>
    <row r="507" s="22" customFormat="1"/>
    <row r="508" s="22" customFormat="1"/>
    <row r="509" s="22" customFormat="1"/>
    <row r="510" s="22" customFormat="1"/>
    <row r="511" s="22" customFormat="1"/>
    <row r="512" s="22" customFormat="1"/>
    <row r="513" s="22" customFormat="1"/>
    <row r="514" s="22" customFormat="1"/>
    <row r="515" s="22" customFormat="1"/>
    <row r="516" s="22" customFormat="1"/>
    <row r="517" s="22" customFormat="1"/>
    <row r="518" s="22" customFormat="1"/>
    <row r="519" s="22" customFormat="1"/>
    <row r="520" s="22" customFormat="1"/>
    <row r="521" s="22" customFormat="1"/>
    <row r="522" s="22" customFormat="1"/>
    <row r="523" s="22" customFormat="1"/>
    <row r="524" s="22" customFormat="1"/>
    <row r="525" s="22" customFormat="1"/>
    <row r="526" s="22" customFormat="1"/>
    <row r="527" s="22" customFormat="1"/>
    <row r="528" s="22" customFormat="1"/>
    <row r="529" s="22" customFormat="1"/>
    <row r="530" s="22" customFormat="1"/>
    <row r="531" s="22" customFormat="1"/>
    <row r="532" s="22" customFormat="1"/>
    <row r="533" s="22" customFormat="1"/>
    <row r="534" s="22" customFormat="1"/>
    <row r="535" s="22" customFormat="1"/>
    <row r="536" s="22" customFormat="1"/>
    <row r="537" s="22" customFormat="1"/>
    <row r="538" s="22" customFormat="1"/>
    <row r="539" s="22" customFormat="1"/>
    <row r="540" s="22" customFormat="1"/>
    <row r="541" s="22" customFormat="1"/>
    <row r="542" s="22" customFormat="1"/>
    <row r="543" s="22" customFormat="1"/>
    <row r="544" s="22" customFormat="1"/>
    <row r="545" s="22" customFormat="1"/>
    <row r="546" s="22" customFormat="1"/>
    <row r="547" s="22" customFormat="1"/>
    <row r="548" s="22" customFormat="1"/>
    <row r="549" s="22" customFormat="1"/>
    <row r="550" s="22" customFormat="1"/>
    <row r="551" s="22" customFormat="1"/>
    <row r="552" s="22" customFormat="1"/>
    <row r="553" s="22" customFormat="1"/>
    <row r="554" s="22" customFormat="1"/>
    <row r="555" s="22" customFormat="1"/>
    <row r="556" s="22" customFormat="1"/>
    <row r="557" s="22" customFormat="1"/>
    <row r="558" s="22" customFormat="1"/>
    <row r="559" s="22" customFormat="1"/>
    <row r="560" s="22" customFormat="1"/>
    <row r="561" s="22" customFormat="1"/>
    <row r="562" s="22" customFormat="1"/>
    <row r="563" s="22" customFormat="1"/>
    <row r="564" s="22" customFormat="1"/>
    <row r="565" s="22" customFormat="1"/>
    <row r="566" s="22" customFormat="1"/>
    <row r="567" s="22" customFormat="1"/>
    <row r="568" s="22" customFormat="1"/>
    <row r="569" s="22" customFormat="1"/>
    <row r="570" s="22" customFormat="1"/>
    <row r="571" s="22" customFormat="1"/>
    <row r="572" s="22" customFormat="1"/>
    <row r="573" s="22" customFormat="1"/>
    <row r="574" s="22" customFormat="1"/>
    <row r="575" s="22" customFormat="1"/>
    <row r="576" s="22" customFormat="1"/>
    <row r="577" s="22" customFormat="1"/>
    <row r="578" s="22" customFormat="1"/>
    <row r="579" s="22" customFormat="1"/>
    <row r="580" s="22" customFormat="1"/>
    <row r="581" s="22" customFormat="1"/>
    <row r="582" s="22" customFormat="1"/>
    <row r="583" s="22" customFormat="1"/>
    <row r="584" s="22" customFormat="1"/>
    <row r="585" s="22" customFormat="1"/>
    <row r="586" s="22" customFormat="1"/>
    <row r="587" s="22" customFormat="1"/>
    <row r="588" s="22" customFormat="1"/>
    <row r="589" s="22" customFormat="1"/>
    <row r="590" s="22" customFormat="1"/>
    <row r="591" s="22" customFormat="1"/>
    <row r="592" s="22" customFormat="1"/>
    <row r="593" s="22" customFormat="1"/>
    <row r="594" s="22" customFormat="1"/>
    <row r="595" s="22" customFormat="1"/>
    <row r="596" s="22" customFormat="1"/>
    <row r="597" s="22" customFormat="1"/>
    <row r="598" s="22" customFormat="1"/>
    <row r="599" s="22" customFormat="1"/>
    <row r="600" s="22" customFormat="1"/>
    <row r="601" s="22" customFormat="1"/>
    <row r="602" s="22" customFormat="1"/>
    <row r="603" s="22" customFormat="1"/>
    <row r="604" s="22" customFormat="1"/>
    <row r="605" s="22" customFormat="1"/>
    <row r="606" s="22" customFormat="1"/>
    <row r="607" s="22" customFormat="1"/>
    <row r="608" s="22" customFormat="1"/>
    <row r="609" s="22" customFormat="1"/>
    <row r="610" s="22" customFormat="1"/>
    <row r="611" s="22" customFormat="1"/>
    <row r="612" s="22" customFormat="1"/>
    <row r="613" s="22" customFormat="1"/>
    <row r="614" s="22" customFormat="1"/>
    <row r="615" s="22" customFormat="1"/>
    <row r="616" s="22" customFormat="1"/>
    <row r="617" s="22" customFormat="1"/>
    <row r="618" s="22" customFormat="1"/>
    <row r="619" s="22" customFormat="1"/>
    <row r="620" s="22" customFormat="1"/>
    <row r="621" s="22" customFormat="1"/>
    <row r="622" s="22" customFormat="1"/>
    <row r="623" s="22" customFormat="1"/>
    <row r="624" s="22" customFormat="1"/>
    <row r="625" s="22" customFormat="1"/>
    <row r="626" s="22" customFormat="1"/>
    <row r="627" s="22" customFormat="1"/>
    <row r="628" s="22" customFormat="1"/>
    <row r="629" s="22" customFormat="1"/>
    <row r="630" s="22" customFormat="1"/>
    <row r="631" s="22" customFormat="1"/>
    <row r="632" s="22" customFormat="1"/>
    <row r="633" s="22" customFormat="1"/>
    <row r="634" s="22" customFormat="1"/>
    <row r="635" s="22" customFormat="1"/>
    <row r="636" s="22" customFormat="1"/>
    <row r="637" s="22" customFormat="1"/>
    <row r="638" s="22" customFormat="1"/>
    <row r="639" s="22" customFormat="1"/>
    <row r="640" s="22" customFormat="1"/>
    <row r="641" s="22" customFormat="1"/>
    <row r="642" s="22" customFormat="1"/>
    <row r="643" s="22" customFormat="1"/>
    <row r="644" s="22" customFormat="1"/>
    <row r="645" s="22" customFormat="1"/>
    <row r="646" s="22" customFormat="1"/>
    <row r="647" s="22" customFormat="1"/>
    <row r="648" s="22" customFormat="1"/>
    <row r="649" s="22" customFormat="1"/>
    <row r="650" s="22" customFormat="1"/>
    <row r="651" s="22" customFormat="1"/>
    <row r="652" s="22" customFormat="1"/>
    <row r="653" s="22" customFormat="1"/>
    <row r="654" s="22" customFormat="1"/>
    <row r="655" s="22" customFormat="1"/>
    <row r="656" s="22" customFormat="1"/>
    <row r="657" s="22" customFormat="1"/>
    <row r="658" s="22" customFormat="1"/>
    <row r="659" s="22" customFormat="1"/>
    <row r="660" s="22" customFormat="1"/>
    <row r="661" s="22" customFormat="1"/>
    <row r="662" s="22" customFormat="1"/>
    <row r="663" s="22" customFormat="1"/>
    <row r="664" s="22" customFormat="1"/>
    <row r="665" s="22" customFormat="1"/>
    <row r="666" s="22" customFormat="1"/>
    <row r="667" s="22" customFormat="1"/>
    <row r="668" s="22" customFormat="1"/>
    <row r="669" s="22" customFormat="1"/>
    <row r="670" s="22" customFormat="1"/>
    <row r="671" s="22" customFormat="1"/>
    <row r="672" s="22" customFormat="1"/>
    <row r="673" s="22" customFormat="1"/>
    <row r="674" s="22" customFormat="1"/>
    <row r="675" s="22" customFormat="1"/>
    <row r="676" s="22" customFormat="1"/>
    <row r="677" s="22" customFormat="1"/>
    <row r="678" s="22" customFormat="1"/>
    <row r="679" s="22" customFormat="1"/>
    <row r="680" s="22" customFormat="1"/>
    <row r="681" s="22" customFormat="1"/>
    <row r="682" s="22" customFormat="1"/>
    <row r="683" s="22" customFormat="1"/>
    <row r="684" s="22" customFormat="1"/>
    <row r="685" s="22" customFormat="1"/>
    <row r="686" s="22" customFormat="1"/>
    <row r="687" s="22" customFormat="1"/>
    <row r="688" s="22" customFormat="1"/>
    <row r="689" s="22" customFormat="1"/>
    <row r="690" s="22" customFormat="1"/>
    <row r="691" s="22" customFormat="1"/>
    <row r="692" s="22" customFormat="1"/>
    <row r="693" s="22" customFormat="1"/>
    <row r="694" s="22" customFormat="1"/>
    <row r="695" s="22" customFormat="1"/>
    <row r="696" s="22" customFormat="1"/>
    <row r="697" s="22" customFormat="1"/>
    <row r="698" s="22" customFormat="1"/>
    <row r="699" s="22" customFormat="1"/>
    <row r="700" s="22" customFormat="1"/>
    <row r="701" s="22" customFormat="1"/>
    <row r="702" s="22" customFormat="1"/>
    <row r="703" s="22" customFormat="1"/>
    <row r="704" s="22" customFormat="1"/>
    <row r="705" s="22" customFormat="1"/>
    <row r="706" s="22" customFormat="1"/>
    <row r="707" s="22" customFormat="1"/>
    <row r="708" s="22" customFormat="1"/>
    <row r="709" s="22" customFormat="1"/>
    <row r="710" s="22" customFormat="1"/>
    <row r="711" s="22" customFormat="1"/>
    <row r="712" s="22" customFormat="1"/>
    <row r="713" s="22" customFormat="1"/>
    <row r="714" s="22" customFormat="1"/>
    <row r="715" s="22" customFormat="1"/>
    <row r="716" s="22" customFormat="1"/>
    <row r="717" s="22" customFormat="1"/>
    <row r="718" s="22" customFormat="1"/>
    <row r="719" s="22" customFormat="1"/>
    <row r="720" s="22" customFormat="1"/>
    <row r="721" s="22" customFormat="1"/>
    <row r="722" s="22" customFormat="1"/>
    <row r="723" s="22" customFormat="1"/>
    <row r="724" s="22" customFormat="1"/>
    <row r="725" s="22" customFormat="1"/>
    <row r="726" s="22" customFormat="1"/>
    <row r="727" s="22" customFormat="1"/>
    <row r="728" s="22" customFormat="1"/>
    <row r="729" s="22" customFormat="1"/>
    <row r="730" s="22" customFormat="1"/>
    <row r="731" s="22" customFormat="1"/>
    <row r="732" s="22" customFormat="1"/>
    <row r="733" s="22" customFormat="1"/>
    <row r="734" s="22" customFormat="1"/>
    <row r="735" s="22" customFormat="1"/>
    <row r="736" s="22" customFormat="1"/>
    <row r="737" s="22" customFormat="1"/>
    <row r="738" s="22" customFormat="1"/>
    <row r="739" s="22" customFormat="1"/>
    <row r="740" s="22" customFormat="1"/>
    <row r="741" s="22" customFormat="1"/>
    <row r="742" s="22" customFormat="1"/>
  </sheetData>
  <mergeCells count="3">
    <mergeCell ref="B3:O3"/>
    <mergeCell ref="Q3:AD3"/>
    <mergeCell ref="AF3:AS3"/>
  </mergeCells>
  <pageMargins left="0.7" right="0.7" top="0.75" bottom="0.75" header="0.3" footer="0.3"/>
  <pageSetup paperSize="9" scale="1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E4B2-0423-4D14-B3E4-9AADA659EE6D}">
  <sheetPr>
    <tabColor rgb="FF00B050"/>
    <pageSetUpPr fitToPage="1"/>
  </sheetPr>
  <dimension ref="A2:BM34"/>
  <sheetViews>
    <sheetView showGridLines="0" zoomScale="70" zoomScaleNormal="70" workbookViewId="0">
      <selection activeCell="M25" sqref="M25"/>
    </sheetView>
  </sheetViews>
  <sheetFormatPr defaultColWidth="9.140625" defaultRowHeight="15.75"/>
  <cols>
    <col min="1" max="1" width="58.140625" style="22" bestFit="1" customWidth="1"/>
    <col min="2" max="2" width="7.42578125" style="22" bestFit="1" customWidth="1"/>
    <col min="3" max="3" width="8.7109375" style="22" bestFit="1" customWidth="1"/>
    <col min="4" max="4" width="14.85546875" style="22" bestFit="1" customWidth="1"/>
    <col min="5" max="9" width="8.5703125" style="22" bestFit="1" customWidth="1"/>
    <col min="10" max="10" width="12.140625" style="22" bestFit="1" customWidth="1"/>
    <col min="11" max="11" width="9.140625" style="22" customWidth="1"/>
    <col min="12" max="13" width="11.42578125" style="22" bestFit="1" customWidth="1"/>
    <col min="14" max="14" width="22.42578125" style="22" bestFit="1" customWidth="1"/>
    <col min="15" max="15" width="9.140625" style="22" customWidth="1"/>
    <col min="16" max="16" width="10.140625" style="22" bestFit="1" customWidth="1"/>
    <col min="17" max="17" width="8.5703125" style="22" bestFit="1" customWidth="1"/>
    <col min="18" max="18" width="8.7109375" style="22" bestFit="1" customWidth="1"/>
    <col min="19" max="24" width="8.5703125" style="22" bestFit="1" customWidth="1"/>
    <col min="25" max="25" width="12.140625" style="22" bestFit="1" customWidth="1"/>
    <col min="26" max="26" width="9.140625" style="22" customWidth="1"/>
    <col min="27" max="28" width="11.42578125" style="22" bestFit="1" customWidth="1"/>
    <col min="29" max="29" width="22.42578125" style="22" bestFit="1" customWidth="1"/>
    <col min="30" max="31" width="9.140625" style="22" customWidth="1"/>
    <col min="32" max="32" width="7.42578125" style="22" bestFit="1" customWidth="1"/>
    <col min="33" max="33" width="8.7109375" style="22" bestFit="1" customWidth="1"/>
    <col min="34" max="38" width="7.28515625" style="22" bestFit="1" customWidth="1"/>
    <col min="39" max="39" width="7.85546875" style="22" bestFit="1" customWidth="1"/>
    <col min="40" max="40" width="12.140625" style="22" bestFit="1" customWidth="1"/>
    <col min="41" max="41" width="9.140625" style="22" customWidth="1"/>
    <col min="42" max="43" width="11.42578125" style="22" bestFit="1" customWidth="1"/>
    <col min="44" max="44" width="22.42578125" style="22" bestFit="1" customWidth="1"/>
    <col min="45" max="45" width="6.7109375" style="22" bestFit="1" customWidth="1"/>
    <col min="46" max="65" width="9.140625" style="22" customWidth="1"/>
    <col min="66" max="66" width="9.140625" style="23" customWidth="1"/>
    <col min="67" max="16384" width="9.140625" style="23"/>
  </cols>
  <sheetData>
    <row r="2" spans="1:45" s="20" customFormat="1" ht="27.6" customHeight="1">
      <c r="A2" s="4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pans="1:45" s="22" customFormat="1" ht="19.5" customHeight="1">
      <c r="B3" s="315">
        <v>2022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21"/>
      <c r="Q3" s="315">
        <v>2023</v>
      </c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F3" s="315">
        <v>2024</v>
      </c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</row>
    <row r="4" spans="1:45" s="22" customFormat="1" ht="19.5" customHeight="1" thickBot="1"/>
    <row r="5" spans="1:45" s="22" customFormat="1" ht="19.5" customHeight="1" thickTop="1">
      <c r="A5" s="1" t="s">
        <v>50</v>
      </c>
      <c r="B5" s="8" t="s">
        <v>1</v>
      </c>
      <c r="C5" s="8" t="s">
        <v>27</v>
      </c>
      <c r="D5" s="8" t="s">
        <v>28</v>
      </c>
      <c r="E5" s="8" t="s">
        <v>29</v>
      </c>
      <c r="F5" s="8" t="s">
        <v>30</v>
      </c>
      <c r="G5" s="8" t="s">
        <v>31</v>
      </c>
      <c r="H5" s="8" t="s">
        <v>32</v>
      </c>
      <c r="I5" s="8" t="s">
        <v>33</v>
      </c>
      <c r="J5" s="8" t="s">
        <v>34</v>
      </c>
      <c r="K5" s="8" t="s">
        <v>35</v>
      </c>
      <c r="L5" s="8" t="s">
        <v>36</v>
      </c>
      <c r="M5" s="8" t="s">
        <v>37</v>
      </c>
      <c r="N5" s="8" t="s">
        <v>38</v>
      </c>
      <c r="O5" s="8" t="s">
        <v>14</v>
      </c>
      <c r="P5" s="50"/>
      <c r="Q5" s="8" t="s">
        <v>1</v>
      </c>
      <c r="R5" s="8" t="s">
        <v>27</v>
      </c>
      <c r="S5" s="8" t="s">
        <v>28</v>
      </c>
      <c r="T5" s="8" t="s">
        <v>29</v>
      </c>
      <c r="U5" s="8" t="s">
        <v>30</v>
      </c>
      <c r="V5" s="8" t="s">
        <v>31</v>
      </c>
      <c r="W5" s="8" t="s">
        <v>32</v>
      </c>
      <c r="X5" s="8" t="s">
        <v>33</v>
      </c>
      <c r="Y5" s="8" t="s">
        <v>34</v>
      </c>
      <c r="Z5" s="8" t="s">
        <v>35</v>
      </c>
      <c r="AA5" s="8" t="s">
        <v>36</v>
      </c>
      <c r="AB5" s="8" t="s">
        <v>37</v>
      </c>
      <c r="AC5" s="2" t="s">
        <v>38</v>
      </c>
      <c r="AD5" s="49" t="s">
        <v>14</v>
      </c>
      <c r="AF5" s="207" t="s">
        <v>1</v>
      </c>
      <c r="AG5" s="207" t="s">
        <v>27</v>
      </c>
      <c r="AH5" s="207" t="s">
        <v>28</v>
      </c>
      <c r="AI5" s="207" t="s">
        <v>29</v>
      </c>
      <c r="AJ5" s="207" t="s">
        <v>30</v>
      </c>
      <c r="AK5" s="207" t="s">
        <v>31</v>
      </c>
      <c r="AL5" s="207" t="s">
        <v>32</v>
      </c>
      <c r="AM5" s="207" t="s">
        <v>33</v>
      </c>
      <c r="AN5" s="207" t="s">
        <v>34</v>
      </c>
      <c r="AO5" s="207" t="s">
        <v>35</v>
      </c>
      <c r="AP5" s="207" t="s">
        <v>36</v>
      </c>
      <c r="AQ5" s="207" t="s">
        <v>37</v>
      </c>
      <c r="AR5" s="192" t="s">
        <v>38</v>
      </c>
      <c r="AS5" s="208" t="s">
        <v>237</v>
      </c>
    </row>
    <row r="6" spans="1:45" s="22" customFormat="1" ht="6.95" customHeight="1">
      <c r="A6" s="1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50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50"/>
      <c r="AD6" s="50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50"/>
      <c r="AS6" s="50"/>
    </row>
    <row r="7" spans="1:45" s="22" customFormat="1" ht="6.95" customHeight="1" thickBot="1"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Q7" s="51"/>
      <c r="R7" s="51"/>
      <c r="S7" s="52"/>
      <c r="T7" s="53"/>
      <c r="U7" s="53"/>
      <c r="V7" s="53"/>
      <c r="W7" s="53"/>
      <c r="X7" s="53"/>
      <c r="Y7" s="53"/>
      <c r="Z7" s="53"/>
      <c r="AA7" s="53"/>
      <c r="AB7" s="53"/>
      <c r="AF7" s="209"/>
      <c r="AG7" s="209"/>
      <c r="AH7" s="52"/>
      <c r="AI7" s="53"/>
      <c r="AJ7" s="53"/>
      <c r="AK7" s="53"/>
      <c r="AL7" s="53"/>
      <c r="AM7" s="53"/>
      <c r="AN7" s="53"/>
      <c r="AO7" s="53"/>
      <c r="AP7" s="53"/>
      <c r="AQ7" s="53"/>
    </row>
    <row r="8" spans="1:45" s="22" customFormat="1" ht="30" customHeight="1" thickBot="1">
      <c r="A8" s="54" t="s">
        <v>51</v>
      </c>
      <c r="B8" s="56">
        <v>0.09</v>
      </c>
      <c r="C8" s="56">
        <v>9.1200000000000003E-2</v>
      </c>
      <c r="D8" s="56">
        <v>9.7100000000000006E-2</v>
      </c>
      <c r="E8" s="56">
        <v>0.1021</v>
      </c>
      <c r="F8" s="56">
        <v>0.1016</v>
      </c>
      <c r="G8" s="56">
        <v>0.1067</v>
      </c>
      <c r="H8" s="56">
        <v>0.1017</v>
      </c>
      <c r="I8" s="56">
        <v>0.10630000000000001</v>
      </c>
      <c r="J8" s="56">
        <v>9.8900000000000002E-2</v>
      </c>
      <c r="K8" s="56">
        <v>0.1018</v>
      </c>
      <c r="L8" s="56">
        <v>9.7699999999999995E-2</v>
      </c>
      <c r="M8" s="56">
        <v>9.4500000000000001E-2</v>
      </c>
      <c r="N8" s="56">
        <f>AVERAGE(B8:M8)</f>
        <v>9.9133333333333337E-2</v>
      </c>
      <c r="O8" s="56" t="s">
        <v>52</v>
      </c>
      <c r="Q8" s="56">
        <v>0.1096736783777482</v>
      </c>
      <c r="R8" s="56">
        <v>0.1181945753941281</v>
      </c>
      <c r="S8" s="56">
        <v>0.1096495033184401</v>
      </c>
      <c r="T8" s="56">
        <v>0.11096002358421241</v>
      </c>
      <c r="U8" s="56">
        <v>0.1183141898408322</v>
      </c>
      <c r="V8" s="39">
        <v>0.1293368667946023</v>
      </c>
      <c r="W8" s="39">
        <v>0.1169845471656879</v>
      </c>
      <c r="X8" s="39">
        <v>0.1189300351126945</v>
      </c>
      <c r="Y8" s="39">
        <v>0.11802706022948541</v>
      </c>
      <c r="Z8" s="39">
        <v>0.1190399258910267</v>
      </c>
      <c r="AA8" s="39">
        <v>0.1181076530899302</v>
      </c>
      <c r="AB8" s="39">
        <v>0.1212137506663051</v>
      </c>
      <c r="AC8" s="36">
        <v>0.11736931745542444</v>
      </c>
      <c r="AD8" s="55" t="s">
        <v>52</v>
      </c>
      <c r="AF8" s="210">
        <v>3.3799999999999997E-2</v>
      </c>
      <c r="AG8" s="210">
        <v>3.2899999999999999E-2</v>
      </c>
      <c r="AH8" s="210">
        <v>1.9900000000000001E-2</v>
      </c>
      <c r="AI8" s="210">
        <v>2.4E-2</v>
      </c>
      <c r="AJ8" s="210">
        <v>2.24E-2</v>
      </c>
      <c r="AK8" s="211">
        <v>4.5600000000000002E-2</v>
      </c>
      <c r="AL8" s="211">
        <v>6.3600000000000004E-2</v>
      </c>
      <c r="AM8" s="211">
        <v>5.4399999999999997E-2</v>
      </c>
      <c r="AN8" s="211">
        <v>5.3900000000000003E-2</v>
      </c>
      <c r="AO8" s="211">
        <v>5.1499999999999997E-2</v>
      </c>
      <c r="AP8" s="211">
        <v>4.2599999999999999E-2</v>
      </c>
      <c r="AQ8" s="211">
        <v>5.0599999999999999E-2</v>
      </c>
      <c r="AR8" s="212">
        <f>AVERAGE(AF8:AQ8)</f>
        <v>4.1266666666666667E-2</v>
      </c>
      <c r="AS8" s="213" t="s">
        <v>52</v>
      </c>
    </row>
    <row r="9" spans="1:45" s="22" customFormat="1" ht="7.5" customHeight="1"/>
    <row r="10" spans="1:45" s="22" customFormat="1" ht="6.95" customHeight="1"/>
    <row r="11" spans="1:45" s="22" customFormat="1" ht="18.75" customHeight="1"/>
    <row r="12" spans="1:45" s="22" customFormat="1" ht="18.75" customHeight="1">
      <c r="P12" s="57"/>
    </row>
    <row r="19" spans="1:13" s="22" customFormat="1" ht="6.95" customHeight="1"/>
    <row r="20" spans="1:13" s="22" customFormat="1"/>
    <row r="21" spans="1:13" s="22" customFormat="1" ht="15" hidden="1" customHeight="1">
      <c r="A21" s="22" t="s">
        <v>53</v>
      </c>
      <c r="B21" s="22">
        <v>2</v>
      </c>
      <c r="C21" s="22">
        <v>0</v>
      </c>
      <c r="D21" s="22">
        <v>1</v>
      </c>
      <c r="E21" s="22">
        <v>1</v>
      </c>
      <c r="F21" s="22">
        <v>0</v>
      </c>
      <c r="G21" s="22">
        <v>1</v>
      </c>
      <c r="H21" s="22">
        <v>2</v>
      </c>
      <c r="I21" s="22">
        <v>2</v>
      </c>
      <c r="J21" s="22">
        <v>2</v>
      </c>
      <c r="K21" s="22">
        <v>4</v>
      </c>
      <c r="L21" s="22">
        <v>6</v>
      </c>
      <c r="M21" s="22">
        <v>2</v>
      </c>
    </row>
    <row r="22" spans="1:13" s="22" customFormat="1" ht="15" hidden="1" customHeight="1">
      <c r="A22" s="22" t="s">
        <v>54</v>
      </c>
      <c r="B22" s="22">
        <v>1817</v>
      </c>
      <c r="C22" s="22">
        <v>2139</v>
      </c>
      <c r="D22" s="22">
        <v>2172</v>
      </c>
      <c r="E22" s="22">
        <v>1533</v>
      </c>
      <c r="F22" s="22">
        <v>1779</v>
      </c>
      <c r="G22" s="22">
        <v>2112</v>
      </c>
      <c r="H22" s="22">
        <v>2390</v>
      </c>
      <c r="I22" s="22">
        <v>1815</v>
      </c>
      <c r="J22" s="22">
        <v>2190</v>
      </c>
      <c r="K22" s="22">
        <v>2138</v>
      </c>
      <c r="L22" s="22">
        <v>2052</v>
      </c>
      <c r="M22" s="22">
        <v>2303</v>
      </c>
    </row>
    <row r="23" spans="1:13" s="22" customFormat="1"/>
    <row r="24" spans="1:13" s="22" customFormat="1">
      <c r="D24" s="22">
        <f>643536/2370182.7</f>
        <v>0.271513246637063</v>
      </c>
    </row>
    <row r="25" spans="1:13" s="22" customFormat="1"/>
    <row r="26" spans="1:13" s="22" customFormat="1"/>
    <row r="27" spans="1:13" s="22" customFormat="1"/>
    <row r="28" spans="1:13" s="22" customFormat="1"/>
    <row r="29" spans="1:13" s="22" customFormat="1"/>
    <row r="30" spans="1:13" s="22" customFormat="1"/>
    <row r="31" spans="1:13" s="22" customFormat="1"/>
    <row r="32" spans="1:13" s="22" customFormat="1"/>
    <row r="33" s="22" customFormat="1"/>
    <row r="34" s="22" customFormat="1"/>
  </sheetData>
  <mergeCells count="3">
    <mergeCell ref="B3:O3"/>
    <mergeCell ref="Q3:AD3"/>
    <mergeCell ref="AF3:AS3"/>
  </mergeCells>
  <pageMargins left="0.7" right="0.7" top="0.75" bottom="0.75" header="0.3" footer="0.3"/>
  <pageSetup paperSize="9" scale="16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E16DE-F1E0-4AA9-94CE-8C99E45A09F5}">
  <sheetPr>
    <tabColor rgb="FF00B050"/>
    <pageSetUpPr fitToPage="1"/>
  </sheetPr>
  <dimension ref="A2:BN20"/>
  <sheetViews>
    <sheetView showGridLines="0" zoomScale="70" zoomScaleNormal="70" workbookViewId="0">
      <selection activeCell="M29" sqref="M29"/>
    </sheetView>
  </sheetViews>
  <sheetFormatPr defaultColWidth="9.140625" defaultRowHeight="15.75"/>
  <cols>
    <col min="1" max="1" width="50.85546875" style="22" bestFit="1" customWidth="1"/>
    <col min="2" max="2" width="8.5703125" style="22" bestFit="1" customWidth="1"/>
    <col min="3" max="3" width="8.7109375" style="22" bestFit="1" customWidth="1"/>
    <col min="4" max="4" width="8.5703125" style="22" bestFit="1" customWidth="1"/>
    <col min="5" max="5" width="6.85546875" style="22" bestFit="1" customWidth="1"/>
    <col min="6" max="6" width="11.140625" style="22" bestFit="1" customWidth="1"/>
    <col min="7" max="8" width="6.85546875" style="22" bestFit="1" customWidth="1"/>
    <col min="9" max="9" width="7.85546875" style="22" bestFit="1" customWidth="1"/>
    <col min="10" max="10" width="12.42578125" style="22" bestFit="1" customWidth="1"/>
    <col min="11" max="11" width="9.140625" style="22" customWidth="1"/>
    <col min="12" max="13" width="11.42578125" style="22" bestFit="1" customWidth="1"/>
    <col min="14" max="14" width="22.42578125" style="22" bestFit="1" customWidth="1"/>
    <col min="15" max="15" width="16.42578125" style="22" bestFit="1" customWidth="1"/>
    <col min="16" max="16" width="10.140625" style="22" bestFit="1" customWidth="1"/>
    <col min="17" max="17" width="8.5703125" style="22" bestFit="1" customWidth="1"/>
    <col min="18" max="18" width="8.7109375" style="22" bestFit="1" customWidth="1"/>
    <col min="19" max="19" width="8.5703125" style="22" bestFit="1" customWidth="1"/>
    <col min="20" max="20" width="10" style="22" bestFit="1" customWidth="1"/>
    <col min="21" max="21" width="6.85546875" style="22" bestFit="1" customWidth="1"/>
    <col min="22" max="22" width="10.5703125" style="22" bestFit="1" customWidth="1"/>
    <col min="23" max="23" width="6.85546875" style="22" bestFit="1" customWidth="1"/>
    <col min="24" max="24" width="11.140625" style="22" bestFit="1" customWidth="1"/>
    <col min="25" max="25" width="12.140625" style="22" bestFit="1" customWidth="1"/>
    <col min="26" max="26" width="9.140625" style="22" customWidth="1"/>
    <col min="27" max="28" width="11.42578125" style="22" bestFit="1" customWidth="1"/>
    <col min="29" max="29" width="22.42578125" style="22" bestFit="1" customWidth="1"/>
    <col min="30" max="30" width="9.28515625" style="22" bestFit="1" customWidth="1"/>
    <col min="31" max="31" width="9.140625" style="22" customWidth="1"/>
    <col min="32" max="32" width="10" style="22" bestFit="1" customWidth="1"/>
    <col min="33" max="33" width="8.7109375" style="22" bestFit="1" customWidth="1"/>
    <col min="34" max="34" width="12.42578125" style="22" bestFit="1" customWidth="1"/>
    <col min="35" max="35" width="6.85546875" style="22" bestFit="1" customWidth="1"/>
    <col min="36" max="36" width="12.42578125" style="22" bestFit="1" customWidth="1"/>
    <col min="37" max="37" width="7.42578125" style="22" bestFit="1" customWidth="1"/>
    <col min="38" max="38" width="6.85546875" style="22" bestFit="1" customWidth="1"/>
    <col min="39" max="39" width="13.5703125" style="22" bestFit="1" customWidth="1"/>
    <col min="40" max="40" width="12.140625" style="22" bestFit="1" customWidth="1"/>
    <col min="41" max="41" width="9.140625" style="22" customWidth="1"/>
    <col min="42" max="42" width="12.42578125" style="22" bestFit="1" customWidth="1"/>
    <col min="43" max="43" width="11.42578125" style="22" bestFit="1" customWidth="1"/>
    <col min="44" max="44" width="22.42578125" style="22" bestFit="1" customWidth="1"/>
    <col min="45" max="45" width="9.28515625" style="22" bestFit="1" customWidth="1"/>
    <col min="46" max="65" width="9.140625" style="22" customWidth="1"/>
    <col min="66" max="66" width="9.140625" style="23" customWidth="1"/>
    <col min="67" max="16384" width="9.140625" style="23"/>
  </cols>
  <sheetData>
    <row r="2" spans="1:66" s="20" customFormat="1" ht="27.6" customHeight="1">
      <c r="A2" s="4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pans="1:66" s="22" customFormat="1" ht="17.25" customHeight="1">
      <c r="B3" s="315">
        <v>2022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21"/>
      <c r="Q3" s="315">
        <v>2023</v>
      </c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F3" s="315">
        <v>2024</v>
      </c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BN3" s="23"/>
    </row>
    <row r="4" spans="1:66" s="22" customFormat="1" ht="19.5" customHeight="1" thickBot="1">
      <c r="BN4" s="23"/>
    </row>
    <row r="5" spans="1:66" s="22" customFormat="1" ht="19.5" customHeight="1" thickTop="1">
      <c r="A5" s="1" t="s">
        <v>55</v>
      </c>
      <c r="B5" s="8" t="s">
        <v>1</v>
      </c>
      <c r="C5" s="8" t="s">
        <v>27</v>
      </c>
      <c r="D5" s="8" t="s">
        <v>28</v>
      </c>
      <c r="E5" s="8" t="s">
        <v>29</v>
      </c>
      <c r="F5" s="8" t="s">
        <v>30</v>
      </c>
      <c r="G5" s="8" t="s">
        <v>31</v>
      </c>
      <c r="H5" s="8" t="s">
        <v>32</v>
      </c>
      <c r="I5" s="8" t="s">
        <v>33</v>
      </c>
      <c r="J5" s="8" t="s">
        <v>34</v>
      </c>
      <c r="K5" s="8" t="s">
        <v>35</v>
      </c>
      <c r="L5" s="8" t="s">
        <v>36</v>
      </c>
      <c r="M5" s="8" t="s">
        <v>37</v>
      </c>
      <c r="N5" s="8" t="s">
        <v>38</v>
      </c>
      <c r="O5" s="8" t="s">
        <v>14</v>
      </c>
      <c r="P5" s="50"/>
      <c r="Q5" s="8" t="s">
        <v>1</v>
      </c>
      <c r="R5" s="8" t="s">
        <v>27</v>
      </c>
      <c r="S5" s="8" t="s">
        <v>28</v>
      </c>
      <c r="T5" s="8" t="s">
        <v>29</v>
      </c>
      <c r="U5" s="8" t="s">
        <v>30</v>
      </c>
      <c r="V5" s="8" t="s">
        <v>31</v>
      </c>
      <c r="W5" s="8" t="s">
        <v>32</v>
      </c>
      <c r="X5" s="8" t="s">
        <v>33</v>
      </c>
      <c r="Y5" s="8" t="s">
        <v>34</v>
      </c>
      <c r="Z5" s="8" t="s">
        <v>35</v>
      </c>
      <c r="AA5" s="8" t="s">
        <v>36</v>
      </c>
      <c r="AB5" s="8" t="s">
        <v>37</v>
      </c>
      <c r="AC5" s="2" t="s">
        <v>38</v>
      </c>
      <c r="AD5" s="49" t="s">
        <v>14</v>
      </c>
      <c r="AF5" s="8" t="s">
        <v>1</v>
      </c>
      <c r="AG5" s="8" t="s">
        <v>27</v>
      </c>
      <c r="AH5" s="8" t="s">
        <v>28</v>
      </c>
      <c r="AI5" s="8" t="s">
        <v>29</v>
      </c>
      <c r="AJ5" s="8" t="s">
        <v>30</v>
      </c>
      <c r="AK5" s="8" t="s">
        <v>31</v>
      </c>
      <c r="AL5" s="8" t="s">
        <v>32</v>
      </c>
      <c r="AM5" s="8" t="s">
        <v>33</v>
      </c>
      <c r="AN5" s="8" t="s">
        <v>34</v>
      </c>
      <c r="AO5" s="8" t="s">
        <v>35</v>
      </c>
      <c r="AP5" s="8" t="s">
        <v>36</v>
      </c>
      <c r="AQ5" s="8" t="s">
        <v>37</v>
      </c>
      <c r="AR5" s="2" t="s">
        <v>38</v>
      </c>
      <c r="AS5" s="49" t="s">
        <v>237</v>
      </c>
      <c r="BN5" s="23"/>
    </row>
    <row r="6" spans="1:66" s="22" customFormat="1" ht="6.95" customHeight="1" thickBot="1">
      <c r="A6" s="1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50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50"/>
      <c r="AD6" s="50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50"/>
      <c r="AS6" s="50"/>
      <c r="BN6" s="23"/>
    </row>
    <row r="7" spans="1:66" s="22" customFormat="1" ht="29.25" customHeight="1" thickBot="1">
      <c r="A7" s="54" t="s">
        <v>56</v>
      </c>
      <c r="B7" s="45">
        <v>0</v>
      </c>
      <c r="C7" s="45">
        <v>1</v>
      </c>
      <c r="D7" s="45">
        <v>0</v>
      </c>
      <c r="E7" s="45">
        <v>0</v>
      </c>
      <c r="F7" s="45">
        <v>1</v>
      </c>
      <c r="G7" s="45">
        <v>0</v>
      </c>
      <c r="H7" s="45">
        <v>0</v>
      </c>
      <c r="I7" s="45">
        <v>0</v>
      </c>
      <c r="J7" s="45">
        <v>1</v>
      </c>
      <c r="K7" s="45">
        <v>0</v>
      </c>
      <c r="L7" s="45">
        <v>1</v>
      </c>
      <c r="M7" s="45">
        <v>0</v>
      </c>
      <c r="N7" s="45">
        <f>SUM(B7:M7)</f>
        <v>4</v>
      </c>
      <c r="O7" s="45" t="s">
        <v>57</v>
      </c>
      <c r="Q7" s="45">
        <v>1</v>
      </c>
      <c r="R7" s="45">
        <v>1</v>
      </c>
      <c r="S7" s="45">
        <v>0</v>
      </c>
      <c r="T7" s="45">
        <v>1</v>
      </c>
      <c r="U7" s="45">
        <v>0</v>
      </c>
      <c r="V7" s="45">
        <v>1</v>
      </c>
      <c r="W7" s="45">
        <v>0</v>
      </c>
      <c r="X7" s="45">
        <v>2</v>
      </c>
      <c r="Y7" s="45">
        <v>0</v>
      </c>
      <c r="Z7" s="45">
        <v>0</v>
      </c>
      <c r="AA7" s="45">
        <v>1</v>
      </c>
      <c r="AB7" s="45">
        <v>1</v>
      </c>
      <c r="AC7" s="60">
        <v>8</v>
      </c>
      <c r="AD7" s="61" t="s">
        <v>57</v>
      </c>
      <c r="AF7" s="214">
        <v>1</v>
      </c>
      <c r="AG7" s="214">
        <v>0</v>
      </c>
      <c r="AH7" s="214">
        <v>1</v>
      </c>
      <c r="AI7" s="214">
        <v>0</v>
      </c>
      <c r="AJ7" s="214">
        <v>1</v>
      </c>
      <c r="AK7" s="214">
        <v>1</v>
      </c>
      <c r="AL7" s="214">
        <v>0</v>
      </c>
      <c r="AM7" s="214">
        <v>2</v>
      </c>
      <c r="AN7" s="214">
        <v>0</v>
      </c>
      <c r="AO7" s="214">
        <v>1</v>
      </c>
      <c r="AP7" s="214">
        <v>2</v>
      </c>
      <c r="AQ7" s="214">
        <v>0</v>
      </c>
      <c r="AR7" s="215">
        <f>SUM(AF7:AQ7)</f>
        <v>9</v>
      </c>
      <c r="AS7" s="216" t="s">
        <v>57</v>
      </c>
      <c r="BN7" s="23"/>
    </row>
    <row r="8" spans="1:66" s="22" customFormat="1" ht="6.95" customHeight="1" thickBot="1">
      <c r="A8" s="1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50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50"/>
      <c r="AD8" s="50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50"/>
      <c r="AS8" s="50"/>
      <c r="BN8" s="23"/>
    </row>
    <row r="9" spans="1:66" s="22" customFormat="1" ht="38.25" customHeight="1" thickBot="1">
      <c r="A9" s="54" t="s">
        <v>58</v>
      </c>
      <c r="B9" s="45">
        <v>0</v>
      </c>
      <c r="C9" s="45">
        <v>0</v>
      </c>
      <c r="D9" s="45">
        <v>0</v>
      </c>
      <c r="E9" s="45">
        <v>0</v>
      </c>
      <c r="F9" s="45">
        <f>3346.5*4.9</f>
        <v>16397.850000000002</v>
      </c>
      <c r="G9" s="45">
        <v>0</v>
      </c>
      <c r="H9" s="45">
        <v>0</v>
      </c>
      <c r="I9" s="45">
        <v>0</v>
      </c>
      <c r="J9" s="45">
        <f>2833.83*4.9</f>
        <v>13885.767</v>
      </c>
      <c r="K9" s="45">
        <v>0</v>
      </c>
      <c r="L9" s="45">
        <v>0</v>
      </c>
      <c r="M9" s="45">
        <v>0</v>
      </c>
      <c r="N9" s="45">
        <f>SUM(B9:M9)</f>
        <v>30283.617000000002</v>
      </c>
      <c r="O9" s="45" t="s">
        <v>59</v>
      </c>
      <c r="Q9" s="45">
        <v>405.9</v>
      </c>
      <c r="R9" s="45">
        <v>0</v>
      </c>
      <c r="S9" s="58">
        <v>0</v>
      </c>
      <c r="T9" s="45">
        <v>8868.2099999999991</v>
      </c>
      <c r="U9" s="45">
        <v>0</v>
      </c>
      <c r="V9" s="59">
        <v>28968.05</v>
      </c>
      <c r="W9" s="45">
        <v>0</v>
      </c>
      <c r="X9" s="45">
        <v>30671.850000000002</v>
      </c>
      <c r="Y9" s="45">
        <v>0</v>
      </c>
      <c r="Z9" s="45">
        <v>0</v>
      </c>
      <c r="AA9" s="45">
        <v>5671.5</v>
      </c>
      <c r="AB9" s="45">
        <v>264.42</v>
      </c>
      <c r="AC9" s="62">
        <v>74849.929999999993</v>
      </c>
      <c r="AD9" s="61" t="s">
        <v>59</v>
      </c>
      <c r="AF9" s="214">
        <f>16576*4.9</f>
        <v>81222.400000000009</v>
      </c>
      <c r="AG9" s="214">
        <v>0</v>
      </c>
      <c r="AH9" s="214">
        <f>26393.4*4.9</f>
        <v>129327.66000000002</v>
      </c>
      <c r="AI9" s="214">
        <v>0</v>
      </c>
      <c r="AJ9" s="214">
        <f>8965.75*4.9</f>
        <v>43932.175000000003</v>
      </c>
      <c r="AK9" s="214">
        <f>7428*5</f>
        <v>37140</v>
      </c>
      <c r="AL9" s="214">
        <v>0</v>
      </c>
      <c r="AM9" s="214">
        <f>(2160+155705.98)*4.9</f>
        <v>773543.30200000014</v>
      </c>
      <c r="AN9" s="214">
        <v>0</v>
      </c>
      <c r="AO9" s="214">
        <v>0</v>
      </c>
      <c r="AP9" s="214">
        <f>(2590.56+8377.05)*4.9</f>
        <v>53741.288999999997</v>
      </c>
      <c r="AQ9" s="214">
        <v>0</v>
      </c>
      <c r="AR9" s="217">
        <f>SUM(AF9:AQ9)</f>
        <v>1118906.8260000004</v>
      </c>
      <c r="AS9" s="216" t="s">
        <v>239</v>
      </c>
      <c r="BN9" s="23"/>
    </row>
    <row r="10" spans="1:66" s="22" customFormat="1" ht="6.95" customHeight="1"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BN10" s="23"/>
    </row>
    <row r="11" spans="1:66" s="22" customFormat="1" ht="15.75" customHeight="1" thickBot="1"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Q11" s="23"/>
      <c r="R11" s="23"/>
      <c r="S11" s="23"/>
      <c r="T11" s="23"/>
      <c r="U11" s="23"/>
      <c r="V11" s="23"/>
      <c r="W11" s="23"/>
      <c r="AF11" s="23"/>
      <c r="AG11" s="23"/>
      <c r="AH11" s="23"/>
      <c r="AI11" s="23"/>
      <c r="AJ11" s="23"/>
      <c r="AK11" s="23"/>
      <c r="AL11" s="23"/>
      <c r="BN11" s="23"/>
    </row>
    <row r="12" spans="1:66" s="22" customFormat="1" ht="19.5" customHeight="1" thickTop="1">
      <c r="A12" s="63" t="s">
        <v>60</v>
      </c>
      <c r="B12" s="8" t="s">
        <v>1</v>
      </c>
      <c r="C12" s="8" t="s">
        <v>27</v>
      </c>
      <c r="D12" s="8" t="s">
        <v>28</v>
      </c>
      <c r="E12" s="8" t="s">
        <v>29</v>
      </c>
      <c r="F12" s="8" t="s">
        <v>30</v>
      </c>
      <c r="G12" s="8" t="s">
        <v>31</v>
      </c>
      <c r="H12" s="8" t="s">
        <v>32</v>
      </c>
      <c r="I12" s="8" t="s">
        <v>33</v>
      </c>
      <c r="J12" s="8" t="s">
        <v>34</v>
      </c>
      <c r="K12" s="8" t="s">
        <v>35</v>
      </c>
      <c r="L12" s="8" t="s">
        <v>36</v>
      </c>
      <c r="M12" s="8" t="s">
        <v>37</v>
      </c>
      <c r="N12" s="8" t="s">
        <v>38</v>
      </c>
      <c r="O12" s="8" t="s">
        <v>14</v>
      </c>
      <c r="Q12" s="8" t="s">
        <v>1</v>
      </c>
      <c r="R12" s="8" t="s">
        <v>27</v>
      </c>
      <c r="S12" s="8" t="s">
        <v>28</v>
      </c>
      <c r="T12" s="8" t="s">
        <v>29</v>
      </c>
      <c r="U12" s="8" t="s">
        <v>30</v>
      </c>
      <c r="V12" s="8" t="s">
        <v>31</v>
      </c>
      <c r="W12" s="8" t="s">
        <v>32</v>
      </c>
      <c r="X12" s="8" t="s">
        <v>33</v>
      </c>
      <c r="Y12" s="8" t="s">
        <v>34</v>
      </c>
      <c r="Z12" s="8" t="s">
        <v>35</v>
      </c>
      <c r="AA12" s="8" t="s">
        <v>36</v>
      </c>
      <c r="AB12" s="8" t="s">
        <v>37</v>
      </c>
      <c r="AC12" s="2" t="s">
        <v>38</v>
      </c>
      <c r="AD12" s="49" t="s">
        <v>14</v>
      </c>
      <c r="AF12" s="8" t="s">
        <v>1</v>
      </c>
      <c r="AG12" s="8" t="s">
        <v>27</v>
      </c>
      <c r="AH12" s="8" t="s">
        <v>28</v>
      </c>
      <c r="AI12" s="8" t="s">
        <v>29</v>
      </c>
      <c r="AJ12" s="8" t="s">
        <v>30</v>
      </c>
      <c r="AK12" s="8" t="s">
        <v>31</v>
      </c>
      <c r="AL12" s="8" t="s">
        <v>32</v>
      </c>
      <c r="AM12" s="8" t="s">
        <v>33</v>
      </c>
      <c r="AN12" s="8" t="s">
        <v>34</v>
      </c>
      <c r="AO12" s="8" t="s">
        <v>35</v>
      </c>
      <c r="AP12" s="8" t="s">
        <v>36</v>
      </c>
      <c r="AQ12" s="8" t="s">
        <v>37</v>
      </c>
      <c r="AR12" s="2" t="s">
        <v>38</v>
      </c>
      <c r="AS12" s="49" t="s">
        <v>237</v>
      </c>
      <c r="BN12" s="23"/>
    </row>
    <row r="13" spans="1:66" s="22" customFormat="1" ht="6.95" customHeight="1" thickBot="1">
      <c r="A13" s="64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BN13" s="23"/>
    </row>
    <row r="14" spans="1:66" s="22" customFormat="1" ht="48.6" customHeight="1" thickBot="1">
      <c r="A14" s="65" t="s">
        <v>61</v>
      </c>
      <c r="B14" s="66">
        <v>0</v>
      </c>
      <c r="C14" s="66">
        <v>0</v>
      </c>
      <c r="D14" s="66">
        <v>0</v>
      </c>
      <c r="E14" s="66">
        <v>0</v>
      </c>
      <c r="F14" s="66">
        <v>0</v>
      </c>
      <c r="G14" s="66">
        <v>0</v>
      </c>
      <c r="H14" s="66">
        <v>0</v>
      </c>
      <c r="I14" s="66">
        <v>0</v>
      </c>
      <c r="J14" s="66">
        <v>0</v>
      </c>
      <c r="K14" s="66">
        <v>0</v>
      </c>
      <c r="L14" s="66">
        <v>0</v>
      </c>
      <c r="M14" s="66">
        <v>0</v>
      </c>
      <c r="N14" s="66">
        <f>AVERAGE(B14:M14)</f>
        <v>0</v>
      </c>
      <c r="O14" s="66">
        <v>0</v>
      </c>
      <c r="Q14" s="66">
        <v>1E-3</v>
      </c>
      <c r="R14" s="66">
        <v>1E-3</v>
      </c>
      <c r="S14" s="66">
        <v>0</v>
      </c>
      <c r="T14" s="66">
        <v>1E-3</v>
      </c>
      <c r="U14" s="66">
        <v>0</v>
      </c>
      <c r="V14" s="66">
        <v>1E-3</v>
      </c>
      <c r="W14" s="66">
        <v>0</v>
      </c>
      <c r="X14" s="66">
        <v>1E-3</v>
      </c>
      <c r="Y14" s="66">
        <v>0</v>
      </c>
      <c r="Z14" s="66">
        <v>0</v>
      </c>
      <c r="AA14" s="66">
        <v>1E-3</v>
      </c>
      <c r="AB14" s="66">
        <v>1E-3</v>
      </c>
      <c r="AC14" s="67">
        <v>5.8333333333333338E-4</v>
      </c>
      <c r="AD14" s="68">
        <v>0</v>
      </c>
      <c r="AF14" s="218">
        <v>1E-3</v>
      </c>
      <c r="AG14" s="218">
        <v>0</v>
      </c>
      <c r="AH14" s="218">
        <v>1E-3</v>
      </c>
      <c r="AI14" s="218">
        <v>0</v>
      </c>
      <c r="AJ14" s="218">
        <v>1E-3</v>
      </c>
      <c r="AK14" s="218">
        <v>1E-3</v>
      </c>
      <c r="AL14" s="218">
        <v>0</v>
      </c>
      <c r="AM14" s="218">
        <v>1E-3</v>
      </c>
      <c r="AN14" s="218">
        <v>0</v>
      </c>
      <c r="AO14" s="218">
        <v>0</v>
      </c>
      <c r="AP14" s="218">
        <v>0</v>
      </c>
      <c r="AQ14" s="218">
        <v>0</v>
      </c>
      <c r="AR14" s="67">
        <f>AVERAGE(AF14:AQ14)</f>
        <v>4.1666666666666669E-4</v>
      </c>
      <c r="AS14" s="68">
        <v>0</v>
      </c>
      <c r="BN14" s="23"/>
    </row>
    <row r="15" spans="1:66" s="22" customFormat="1" ht="15.75" customHeight="1" thickBot="1"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Q15" s="23"/>
      <c r="R15" s="23"/>
      <c r="S15" s="23"/>
      <c r="T15" s="23"/>
      <c r="U15" s="23"/>
      <c r="V15" s="23"/>
      <c r="W15" s="23"/>
      <c r="AF15" s="23"/>
      <c r="AG15" s="23"/>
      <c r="AH15" s="23"/>
      <c r="AI15" s="23"/>
      <c r="AJ15" s="23"/>
      <c r="AK15" s="23"/>
      <c r="AL15" s="23"/>
      <c r="BN15" s="23"/>
    </row>
    <row r="16" spans="1:66" s="22" customFormat="1" ht="27.6" customHeight="1" thickTop="1">
      <c r="A16" s="1" t="s">
        <v>62</v>
      </c>
      <c r="B16" s="2" t="s">
        <v>63</v>
      </c>
      <c r="C16" s="2" t="s">
        <v>64</v>
      </c>
      <c r="D16" s="2" t="s">
        <v>65</v>
      </c>
      <c r="E16" s="2" t="s">
        <v>66</v>
      </c>
      <c r="F16" s="2" t="s">
        <v>67</v>
      </c>
      <c r="G16" s="2" t="s">
        <v>68</v>
      </c>
      <c r="H16" s="2" t="s">
        <v>69</v>
      </c>
      <c r="I16" s="2" t="s">
        <v>70</v>
      </c>
      <c r="J16" s="2" t="s">
        <v>71</v>
      </c>
      <c r="K16" s="2" t="s">
        <v>72</v>
      </c>
      <c r="L16" s="2" t="s">
        <v>73</v>
      </c>
      <c r="M16" s="2" t="s">
        <v>74</v>
      </c>
      <c r="N16" s="2" t="s">
        <v>38</v>
      </c>
      <c r="O16" s="2" t="s">
        <v>14</v>
      </c>
      <c r="P16" s="50"/>
      <c r="Q16" s="2" t="s">
        <v>63</v>
      </c>
      <c r="R16" s="2" t="s">
        <v>64</v>
      </c>
      <c r="S16" s="2" t="s">
        <v>65</v>
      </c>
      <c r="T16" s="2" t="s">
        <v>66</v>
      </c>
      <c r="U16" s="2" t="s">
        <v>67</v>
      </c>
      <c r="V16" s="2" t="s">
        <v>68</v>
      </c>
      <c r="W16" s="2" t="s">
        <v>69</v>
      </c>
      <c r="X16" s="2" t="s">
        <v>70</v>
      </c>
      <c r="Y16" s="2" t="s">
        <v>71</v>
      </c>
      <c r="Z16" s="2" t="s">
        <v>72</v>
      </c>
      <c r="AA16" s="2" t="s">
        <v>73</v>
      </c>
      <c r="AB16" s="2" t="s">
        <v>74</v>
      </c>
      <c r="AC16" s="2" t="s">
        <v>38</v>
      </c>
      <c r="AD16" s="49" t="s">
        <v>14</v>
      </c>
      <c r="AF16" s="2" t="s">
        <v>63</v>
      </c>
      <c r="AG16" s="2" t="s">
        <v>64</v>
      </c>
      <c r="AH16" s="2" t="s">
        <v>65</v>
      </c>
      <c r="AI16" s="2" t="s">
        <v>66</v>
      </c>
      <c r="AJ16" s="2" t="s">
        <v>67</v>
      </c>
      <c r="AK16" s="2" t="s">
        <v>68</v>
      </c>
      <c r="AL16" s="2" t="s">
        <v>69</v>
      </c>
      <c r="AM16" s="2" t="s">
        <v>70</v>
      </c>
      <c r="AN16" s="2" t="s">
        <v>71</v>
      </c>
      <c r="AO16" s="2" t="s">
        <v>72</v>
      </c>
      <c r="AP16" s="2" t="s">
        <v>73</v>
      </c>
      <c r="AQ16" s="2" t="s">
        <v>74</v>
      </c>
      <c r="AR16" s="2" t="s">
        <v>38</v>
      </c>
      <c r="AS16" s="49" t="s">
        <v>237</v>
      </c>
      <c r="BN16" s="23"/>
    </row>
    <row r="17" spans="1:66" s="22" customFormat="1" ht="6.95" customHeight="1" thickBot="1">
      <c r="A17" s="1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50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50"/>
      <c r="AD17" s="50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50"/>
      <c r="AS17" s="50"/>
      <c r="BN17" s="23"/>
    </row>
    <row r="18" spans="1:66" s="22" customFormat="1" ht="30" customHeight="1" thickBot="1">
      <c r="A18" s="54" t="s">
        <v>75</v>
      </c>
      <c r="B18" s="69">
        <v>0.94199999999999995</v>
      </c>
      <c r="C18" s="69">
        <v>0.95199999999999996</v>
      </c>
      <c r="D18" s="69">
        <v>0.95299999999999996</v>
      </c>
      <c r="E18" s="69"/>
      <c r="F18" s="69"/>
      <c r="G18" s="69"/>
      <c r="H18" s="69"/>
      <c r="I18" s="69"/>
      <c r="J18" s="69"/>
      <c r="K18" s="69"/>
      <c r="L18" s="69"/>
      <c r="M18" s="69"/>
      <c r="N18" s="69">
        <f>AVERAGE(B18:M18)</f>
        <v>0.94899999999999995</v>
      </c>
      <c r="O18" s="69" t="s">
        <v>76</v>
      </c>
      <c r="Q18" s="69">
        <v>0.94199999999999995</v>
      </c>
      <c r="R18" s="70">
        <v>0.95199999999999996</v>
      </c>
      <c r="S18" s="71">
        <v>0.95299999999999996</v>
      </c>
      <c r="T18" s="72"/>
      <c r="U18" s="73"/>
      <c r="V18" s="73"/>
      <c r="W18" s="73"/>
      <c r="X18" s="73"/>
      <c r="Y18" s="73"/>
      <c r="Z18" s="73"/>
      <c r="AA18" s="73"/>
      <c r="AB18" s="74"/>
      <c r="AC18" s="75">
        <v>0.94899999999999995</v>
      </c>
      <c r="AD18" s="68" t="s">
        <v>76</v>
      </c>
      <c r="AF18" s="69">
        <v>0.94199999999999995</v>
      </c>
      <c r="AG18" s="70">
        <v>0.95199999999999996</v>
      </c>
      <c r="AH18" s="71">
        <v>0.95299999999999996</v>
      </c>
      <c r="AI18" s="219"/>
      <c r="AJ18" s="219"/>
      <c r="AK18" s="219"/>
      <c r="AL18" s="219"/>
      <c r="AM18" s="219"/>
      <c r="AN18" s="219"/>
      <c r="AO18" s="219"/>
      <c r="AP18" s="219"/>
      <c r="AQ18" s="220"/>
      <c r="AR18" s="75">
        <f>AVERAGE(AF18:AQ18)</f>
        <v>0.94899999999999995</v>
      </c>
      <c r="AS18" s="68" t="s">
        <v>76</v>
      </c>
      <c r="BN18" s="23"/>
    </row>
    <row r="19" spans="1:66" ht="16.5" thickBot="1">
      <c r="AF19" s="23"/>
      <c r="AG19" s="23"/>
      <c r="AH19" s="23"/>
      <c r="AI19" s="23"/>
      <c r="AJ19" s="23"/>
      <c r="AK19" s="23"/>
      <c r="AL19" s="23"/>
    </row>
    <row r="20" spans="1:66" ht="32.25" thickBot="1">
      <c r="A20" s="54" t="s">
        <v>240</v>
      </c>
      <c r="AF20" s="221"/>
      <c r="AG20" s="222"/>
      <c r="AH20" s="223"/>
      <c r="AI20" s="219"/>
      <c r="AJ20" s="73">
        <v>0.73</v>
      </c>
      <c r="AK20" s="73"/>
      <c r="AL20" s="73"/>
      <c r="AM20" s="73"/>
      <c r="AN20" s="73"/>
      <c r="AO20" s="73"/>
      <c r="AP20" s="73"/>
      <c r="AQ20" s="74"/>
      <c r="AR20" s="75">
        <f>AVERAGE(AF20:AQ20)</f>
        <v>0.73</v>
      </c>
      <c r="AS20" s="61" t="s">
        <v>195</v>
      </c>
    </row>
  </sheetData>
  <mergeCells count="3">
    <mergeCell ref="B3:O3"/>
    <mergeCell ref="Q3:AD3"/>
    <mergeCell ref="AF3:AS3"/>
  </mergeCells>
  <pageMargins left="0.7" right="0.7" top="0.75" bottom="0.75" header="0.3" footer="0.3"/>
  <pageSetup paperSize="9" scale="16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FD60-A006-4842-9153-F890C32E15CB}">
  <sheetPr>
    <tabColor rgb="FF00B050"/>
    <pageSetUpPr fitToPage="1"/>
  </sheetPr>
  <dimension ref="A2:BM25"/>
  <sheetViews>
    <sheetView showGridLines="0" zoomScale="70" zoomScaleNormal="70" workbookViewId="0">
      <selection activeCell="AA18" sqref="AA18"/>
    </sheetView>
  </sheetViews>
  <sheetFormatPr defaultColWidth="9.140625" defaultRowHeight="15.75"/>
  <cols>
    <col min="1" max="1" width="63.5703125" style="22" bestFit="1" customWidth="1"/>
    <col min="2" max="6" width="14.85546875" style="22" bestFit="1" customWidth="1"/>
    <col min="7" max="7" width="26.140625" style="22" bestFit="1" customWidth="1"/>
    <col min="8" max="8" width="14.85546875" style="22" bestFit="1" customWidth="1"/>
    <col min="9" max="9" width="13.5703125" style="22" bestFit="1" customWidth="1"/>
    <col min="10" max="13" width="14.85546875" style="22" bestFit="1" customWidth="1"/>
    <col min="14" max="14" width="26.140625" style="22" bestFit="1" customWidth="1"/>
    <col min="15" max="15" width="10.42578125" style="22" bestFit="1" customWidth="1"/>
    <col min="16" max="16" width="9.140625" style="22" customWidth="1"/>
    <col min="17" max="17" width="8.42578125" style="22" bestFit="1" customWidth="1"/>
    <col min="18" max="18" width="9.85546875" style="22" bestFit="1" customWidth="1"/>
    <col min="19" max="21" width="8.28515625" style="22" bestFit="1" customWidth="1"/>
    <col min="22" max="22" width="26.140625" style="22" bestFit="1" customWidth="1"/>
    <col min="23" max="23" width="10.42578125" style="22" bestFit="1" customWidth="1"/>
    <col min="24" max="24" width="9.140625" style="22" customWidth="1"/>
    <col min="25" max="25" width="13.85546875" style="22" bestFit="1" customWidth="1"/>
    <col min="26" max="26" width="10.42578125" style="22" bestFit="1" customWidth="1"/>
    <col min="27" max="28" width="12.85546875" style="22" bestFit="1" customWidth="1"/>
    <col min="29" max="29" width="26.140625" style="22" bestFit="1" customWidth="1"/>
    <col min="30" max="30" width="10.42578125" style="22" bestFit="1" customWidth="1"/>
    <col min="31" max="64" width="9.140625" style="22" customWidth="1"/>
    <col min="65" max="65" width="9.140625" style="23" customWidth="1"/>
    <col min="66" max="16384" width="9.140625" style="23"/>
  </cols>
  <sheetData>
    <row r="2" spans="1:65" s="20" customFormat="1" ht="27.6" customHeight="1">
      <c r="A2" s="4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pans="1:65" s="22" customFormat="1" ht="16.5" customHeight="1">
      <c r="B3" s="315">
        <v>2022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21"/>
      <c r="Q3" s="315">
        <v>2023</v>
      </c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F3" s="315">
        <v>2024</v>
      </c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BM3" s="23"/>
    </row>
    <row r="4" spans="1:65" s="22" customFormat="1" ht="19.5" customHeight="1" thickBot="1">
      <c r="BM4" s="23"/>
    </row>
    <row r="5" spans="1:65" s="22" customFormat="1" ht="36.75" customHeight="1" thickTop="1">
      <c r="A5" s="224" t="s">
        <v>77</v>
      </c>
      <c r="B5" s="2" t="s">
        <v>1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35</v>
      </c>
      <c r="L5" s="2" t="s">
        <v>36</v>
      </c>
      <c r="M5" s="2" t="s">
        <v>37</v>
      </c>
      <c r="N5" s="2" t="s">
        <v>38</v>
      </c>
      <c r="O5" s="2" t="s">
        <v>14</v>
      </c>
      <c r="P5" s="50"/>
      <c r="Q5" s="2" t="s">
        <v>1</v>
      </c>
      <c r="R5" s="2" t="s">
        <v>27</v>
      </c>
      <c r="S5" s="2" t="s">
        <v>28</v>
      </c>
      <c r="T5" s="2" t="s">
        <v>29</v>
      </c>
      <c r="U5" s="2" t="s">
        <v>30</v>
      </c>
      <c r="V5" s="2" t="s">
        <v>31</v>
      </c>
      <c r="W5" s="2" t="s">
        <v>32</v>
      </c>
      <c r="X5" s="2" t="s">
        <v>33</v>
      </c>
      <c r="Y5" s="2" t="s">
        <v>34</v>
      </c>
      <c r="Z5" s="2" t="s">
        <v>35</v>
      </c>
      <c r="AA5" s="2" t="s">
        <v>36</v>
      </c>
      <c r="AB5" s="2" t="s">
        <v>37</v>
      </c>
      <c r="AC5" s="9" t="s">
        <v>38</v>
      </c>
      <c r="AD5" s="49" t="s">
        <v>14</v>
      </c>
      <c r="AF5" s="2" t="s">
        <v>1</v>
      </c>
      <c r="AG5" s="2" t="s">
        <v>27</v>
      </c>
      <c r="AH5" s="2" t="s">
        <v>28</v>
      </c>
      <c r="AI5" s="2" t="s">
        <v>29</v>
      </c>
      <c r="AJ5" s="2" t="s">
        <v>30</v>
      </c>
      <c r="AK5" s="2" t="s">
        <v>31</v>
      </c>
      <c r="AL5" s="2" t="s">
        <v>32</v>
      </c>
      <c r="AM5" s="2" t="s">
        <v>33</v>
      </c>
      <c r="AN5" s="2" t="s">
        <v>34</v>
      </c>
      <c r="AO5" s="2" t="s">
        <v>35</v>
      </c>
      <c r="AP5" s="2" t="s">
        <v>36</v>
      </c>
      <c r="AQ5" s="2" t="s">
        <v>37</v>
      </c>
      <c r="AR5" s="9" t="s">
        <v>38</v>
      </c>
      <c r="AS5" s="49" t="s">
        <v>237</v>
      </c>
      <c r="BM5" s="23"/>
    </row>
    <row r="6" spans="1:65" s="22" customFormat="1" ht="6.95" customHeight="1" thickBot="1">
      <c r="AD6" s="225"/>
      <c r="AS6" s="225"/>
      <c r="BM6" s="23"/>
    </row>
    <row r="7" spans="1:65" s="137" customFormat="1" ht="41.25" customHeight="1" thickBot="1">
      <c r="A7" s="65" t="s">
        <v>78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f>AVERAGE(B7:M7)</f>
        <v>0</v>
      </c>
      <c r="O7" s="226" t="s">
        <v>79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X7" s="226">
        <v>0</v>
      </c>
      <c r="Y7" s="226">
        <v>0</v>
      </c>
      <c r="Z7" s="226">
        <v>0</v>
      </c>
      <c r="AA7" s="226">
        <v>0</v>
      </c>
      <c r="AB7" s="226">
        <v>0</v>
      </c>
      <c r="AC7" s="227">
        <v>0</v>
      </c>
      <c r="AD7" s="228" t="s">
        <v>79</v>
      </c>
      <c r="AF7" s="229">
        <v>0.25</v>
      </c>
      <c r="AG7" s="229">
        <v>0</v>
      </c>
      <c r="AH7" s="229">
        <v>2.9000000000000001E-2</v>
      </c>
      <c r="AI7" s="229">
        <v>0</v>
      </c>
      <c r="AJ7" s="229">
        <v>0</v>
      </c>
      <c r="AK7" s="229">
        <v>0</v>
      </c>
      <c r="AL7" s="229">
        <v>0</v>
      </c>
      <c r="AM7" s="229">
        <v>0.06</v>
      </c>
      <c r="AN7" s="229">
        <v>0</v>
      </c>
      <c r="AO7" s="229">
        <v>0</v>
      </c>
      <c r="AP7" s="229">
        <v>0.15</v>
      </c>
      <c r="AQ7" s="229">
        <v>0</v>
      </c>
      <c r="AR7" s="227">
        <f>AVERAGE(AF7:AQ7)</f>
        <v>4.0750000000000001E-2</v>
      </c>
      <c r="AS7" s="228" t="s">
        <v>79</v>
      </c>
    </row>
    <row r="8" spans="1:65" s="22" customFormat="1" ht="6.95" customHeight="1" thickBot="1"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D8" s="225"/>
      <c r="AF8" s="230"/>
      <c r="AG8" s="230"/>
      <c r="AH8" s="230"/>
      <c r="AI8" s="230"/>
      <c r="AJ8" s="230"/>
      <c r="AK8" s="230"/>
      <c r="AL8" s="230"/>
      <c r="AM8" s="230"/>
      <c r="AN8" s="230"/>
      <c r="AO8" s="230"/>
      <c r="AP8" s="230"/>
      <c r="AQ8" s="230"/>
      <c r="AS8" s="225"/>
      <c r="BM8" s="23"/>
    </row>
    <row r="9" spans="1:65" s="137" customFormat="1" ht="41.25" customHeight="1" thickBot="1">
      <c r="A9" s="65" t="s">
        <v>80</v>
      </c>
      <c r="B9" s="231">
        <v>0</v>
      </c>
      <c r="C9" s="231">
        <v>0</v>
      </c>
      <c r="D9" s="231">
        <v>0</v>
      </c>
      <c r="E9" s="231">
        <v>0</v>
      </c>
      <c r="F9" s="231">
        <v>0</v>
      </c>
      <c r="G9" s="231">
        <v>0</v>
      </c>
      <c r="H9" s="231">
        <v>0</v>
      </c>
      <c r="I9" s="231">
        <v>0</v>
      </c>
      <c r="J9" s="231">
        <v>0</v>
      </c>
      <c r="K9" s="231">
        <v>0</v>
      </c>
      <c r="L9" s="231">
        <v>0</v>
      </c>
      <c r="M9" s="231">
        <v>0</v>
      </c>
      <c r="N9" s="231">
        <f>SUM(B9:M9)</f>
        <v>0</v>
      </c>
      <c r="O9" s="231" t="s">
        <v>81</v>
      </c>
      <c r="Q9" s="231">
        <v>0</v>
      </c>
      <c r="R9" s="231">
        <v>0</v>
      </c>
      <c r="S9" s="231">
        <v>0</v>
      </c>
      <c r="T9" s="231">
        <v>0</v>
      </c>
      <c r="U9" s="231">
        <v>0</v>
      </c>
      <c r="V9" s="231">
        <v>0</v>
      </c>
      <c r="W9" s="231">
        <v>0</v>
      </c>
      <c r="X9" s="231">
        <v>0</v>
      </c>
      <c r="Y9" s="231">
        <v>0</v>
      </c>
      <c r="Z9" s="231">
        <v>0</v>
      </c>
      <c r="AA9" s="231">
        <v>0</v>
      </c>
      <c r="AB9" s="231">
        <v>0</v>
      </c>
      <c r="AC9" s="232">
        <v>0</v>
      </c>
      <c r="AD9" s="228" t="s">
        <v>81</v>
      </c>
      <c r="AF9" s="233">
        <v>0</v>
      </c>
      <c r="AG9" s="233">
        <v>0</v>
      </c>
      <c r="AH9" s="233">
        <v>0</v>
      </c>
      <c r="AI9" s="233">
        <v>0</v>
      </c>
      <c r="AJ9" s="233">
        <v>0</v>
      </c>
      <c r="AK9" s="233">
        <v>0</v>
      </c>
      <c r="AL9" s="233">
        <v>0</v>
      </c>
      <c r="AM9" s="233">
        <v>0</v>
      </c>
      <c r="AN9" s="233">
        <v>0</v>
      </c>
      <c r="AO9" s="233">
        <v>0</v>
      </c>
      <c r="AP9" s="233">
        <v>0</v>
      </c>
      <c r="AQ9" s="233">
        <v>0</v>
      </c>
      <c r="AR9" s="232">
        <f>SUM(AF9:AQ9)</f>
        <v>0</v>
      </c>
      <c r="AS9" s="228" t="s">
        <v>81</v>
      </c>
    </row>
    <row r="10" spans="1:65" s="22" customFormat="1" ht="6.75" customHeight="1" thickBot="1"/>
    <row r="11" spans="1:65" s="137" customFormat="1" ht="41.25" customHeight="1" thickBot="1">
      <c r="A11" s="65" t="s">
        <v>82</v>
      </c>
      <c r="B11" s="234">
        <v>3.2347919849043038E-3</v>
      </c>
      <c r="C11" s="234">
        <v>5.4025974025974028E-3</v>
      </c>
      <c r="D11" s="234">
        <v>6.4679771718452756E-3</v>
      </c>
      <c r="E11" s="234">
        <v>2.4947333407251359E-3</v>
      </c>
      <c r="F11" s="234">
        <v>3.5311042329656921E-3</v>
      </c>
      <c r="G11" s="234">
        <v>3.486961795027289E-3</v>
      </c>
      <c r="H11" s="234">
        <v>9.9856727304302516E-4</v>
      </c>
      <c r="I11" s="234">
        <v>1.0840695972681451E-3</v>
      </c>
      <c r="J11" s="234">
        <v>1.8214127054642379E-3</v>
      </c>
      <c r="K11" s="234">
        <v>1.232626344200281E-3</v>
      </c>
      <c r="L11" s="234">
        <v>1.3491165462616421E-3</v>
      </c>
      <c r="M11" s="234">
        <v>3.337431933953978E-3</v>
      </c>
      <c r="N11" s="234">
        <f>AVERAGE(B11:M11)</f>
        <v>2.8701158606880338E-3</v>
      </c>
      <c r="O11" s="234" t="s">
        <v>79</v>
      </c>
      <c r="Q11" s="234">
        <v>2.2222222222222223E-2</v>
      </c>
      <c r="R11" s="234">
        <v>6.1315496098104792E-2</v>
      </c>
      <c r="S11" s="234">
        <v>3.9344262295081971E-2</v>
      </c>
      <c r="T11" s="234">
        <v>8.5029940119760478E-2</v>
      </c>
      <c r="U11" s="234">
        <v>3.5000000000000003E-2</v>
      </c>
      <c r="V11" s="234">
        <v>6.8656716417910449E-2</v>
      </c>
      <c r="W11" s="234">
        <v>4.7191011235955059E-2</v>
      </c>
      <c r="X11" s="234">
        <v>5.3932584269662923E-2</v>
      </c>
      <c r="Y11" s="234">
        <v>5.2451539338654506E-2</v>
      </c>
      <c r="Z11" s="234">
        <v>8.6646279306829763E-2</v>
      </c>
      <c r="AA11" s="234">
        <v>6.2953995157384993E-2</v>
      </c>
      <c r="AB11" s="234">
        <v>2.0408163265306121E-2</v>
      </c>
      <c r="AC11" s="235">
        <v>5.2929350810572769E-2</v>
      </c>
      <c r="AD11" s="228" t="s">
        <v>79</v>
      </c>
      <c r="AF11" s="229">
        <v>0</v>
      </c>
      <c r="AG11" s="229">
        <v>0</v>
      </c>
      <c r="AH11" s="229">
        <v>0</v>
      </c>
      <c r="AI11" s="229">
        <v>0</v>
      </c>
      <c r="AJ11" s="229">
        <v>0</v>
      </c>
      <c r="AK11" s="229">
        <v>0</v>
      </c>
      <c r="AL11" s="229">
        <v>0</v>
      </c>
      <c r="AM11" s="229">
        <v>0</v>
      </c>
      <c r="AN11" s="229">
        <v>0</v>
      </c>
      <c r="AO11" s="229">
        <v>0</v>
      </c>
      <c r="AP11" s="229">
        <v>0</v>
      </c>
      <c r="AQ11" s="229">
        <v>0</v>
      </c>
      <c r="AR11" s="236">
        <f>AVERAGE(AF11:AQ11)</f>
        <v>0</v>
      </c>
      <c r="AS11" s="228" t="s">
        <v>241</v>
      </c>
    </row>
    <row r="12" spans="1:65" s="22" customFormat="1" ht="6.75" customHeight="1" thickBot="1"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Q12" s="23"/>
      <c r="R12" s="23"/>
      <c r="S12" s="23"/>
      <c r="T12" s="23"/>
      <c r="U12" s="23"/>
      <c r="V12" s="23"/>
      <c r="W12" s="23"/>
      <c r="BM12" s="23"/>
    </row>
    <row r="13" spans="1:65" s="137" customFormat="1" ht="41.25" customHeight="1" thickBot="1">
      <c r="A13" s="65" t="s">
        <v>83</v>
      </c>
      <c r="B13" s="237">
        <v>0</v>
      </c>
      <c r="C13" s="237">
        <v>0</v>
      </c>
      <c r="D13" s="237">
        <v>0</v>
      </c>
      <c r="E13" s="237">
        <v>0</v>
      </c>
      <c r="F13" s="237">
        <v>0</v>
      </c>
      <c r="G13" s="237">
        <v>0</v>
      </c>
      <c r="H13" s="237">
        <v>0</v>
      </c>
      <c r="I13" s="237">
        <v>0</v>
      </c>
      <c r="J13" s="237">
        <v>0</v>
      </c>
      <c r="K13" s="237">
        <v>0</v>
      </c>
      <c r="L13" s="237">
        <v>0</v>
      </c>
      <c r="M13" s="237">
        <v>0</v>
      </c>
      <c r="N13" s="237">
        <f>AVERAGE(B13:M13)</f>
        <v>0</v>
      </c>
      <c r="O13" s="237" t="s">
        <v>79</v>
      </c>
      <c r="Q13" s="237">
        <v>0</v>
      </c>
      <c r="R13" s="237">
        <v>0</v>
      </c>
      <c r="S13" s="237">
        <v>0</v>
      </c>
      <c r="T13" s="237">
        <v>0</v>
      </c>
      <c r="U13" s="237">
        <v>0</v>
      </c>
      <c r="V13" s="237">
        <v>0</v>
      </c>
      <c r="W13" s="237">
        <v>0</v>
      </c>
      <c r="X13" s="237">
        <v>0</v>
      </c>
      <c r="Y13" s="237">
        <v>0</v>
      </c>
      <c r="Z13" s="237">
        <v>0</v>
      </c>
      <c r="AA13" s="237">
        <v>0</v>
      </c>
      <c r="AB13" s="237">
        <v>0</v>
      </c>
      <c r="AC13" s="238">
        <v>0</v>
      </c>
      <c r="AD13" s="228" t="s">
        <v>79</v>
      </c>
      <c r="AF13" s="229">
        <v>0</v>
      </c>
      <c r="AG13" s="229">
        <v>0</v>
      </c>
      <c r="AH13" s="229">
        <v>0</v>
      </c>
      <c r="AI13" s="229">
        <v>0</v>
      </c>
      <c r="AJ13" s="229">
        <v>0</v>
      </c>
      <c r="AK13" s="229">
        <v>0</v>
      </c>
      <c r="AL13" s="229">
        <v>0</v>
      </c>
      <c r="AM13" s="229">
        <v>0</v>
      </c>
      <c r="AN13" s="229">
        <v>0</v>
      </c>
      <c r="AO13" s="229">
        <v>0</v>
      </c>
      <c r="AP13" s="229">
        <v>0</v>
      </c>
      <c r="AQ13" s="229">
        <v>0</v>
      </c>
      <c r="AR13" s="238">
        <f>AVERAGE(AF13:AQ13)</f>
        <v>0</v>
      </c>
      <c r="AS13" s="228" t="s">
        <v>79</v>
      </c>
    </row>
    <row r="14" spans="1:65" s="22" customFormat="1" ht="15.75" customHeight="1" thickBot="1">
      <c r="BM14" s="23"/>
    </row>
    <row r="15" spans="1:65" s="22" customFormat="1" ht="36.75" customHeight="1" thickBot="1">
      <c r="A15" s="224" t="s">
        <v>84</v>
      </c>
      <c r="B15" s="239" t="s">
        <v>63</v>
      </c>
      <c r="C15" s="239" t="s">
        <v>64</v>
      </c>
      <c r="D15" s="239" t="s">
        <v>65</v>
      </c>
      <c r="E15" s="239" t="s">
        <v>66</v>
      </c>
      <c r="F15" s="239" t="s">
        <v>67</v>
      </c>
      <c r="G15" s="239" t="s">
        <v>38</v>
      </c>
      <c r="H15" s="239" t="s">
        <v>14</v>
      </c>
      <c r="I15" s="239"/>
      <c r="J15" s="239"/>
      <c r="K15" s="239"/>
      <c r="L15" s="239"/>
      <c r="M15" s="239"/>
      <c r="N15" s="239"/>
      <c r="O15" s="239"/>
      <c r="P15" s="50"/>
      <c r="Q15" s="239" t="s">
        <v>63</v>
      </c>
      <c r="R15" s="240" t="s">
        <v>64</v>
      </c>
      <c r="S15" s="240" t="s">
        <v>65</v>
      </c>
      <c r="T15" s="240" t="s">
        <v>66</v>
      </c>
      <c r="U15" s="240" t="s">
        <v>67</v>
      </c>
      <c r="V15" s="241" t="s">
        <v>38</v>
      </c>
      <c r="W15" s="242" t="s">
        <v>14</v>
      </c>
      <c r="Y15" s="243"/>
      <c r="Z15" s="243"/>
      <c r="AA15" s="243"/>
      <c r="AB15" s="243"/>
      <c r="AF15" s="239" t="s">
        <v>63</v>
      </c>
      <c r="AG15" s="240" t="s">
        <v>64</v>
      </c>
      <c r="AH15" s="240" t="s">
        <v>65</v>
      </c>
      <c r="AI15" s="240" t="s">
        <v>66</v>
      </c>
      <c r="AJ15" s="240" t="s">
        <v>67</v>
      </c>
      <c r="AK15" s="241" t="s">
        <v>38</v>
      </c>
      <c r="AL15" s="242" t="s">
        <v>237</v>
      </c>
      <c r="AN15" s="243"/>
      <c r="AO15" s="243"/>
      <c r="AP15" s="243"/>
      <c r="AQ15" s="243"/>
      <c r="BM15" s="23"/>
    </row>
    <row r="16" spans="1:65" s="22" customFormat="1" ht="6.95" customHeight="1" thickBot="1">
      <c r="W16" s="225"/>
      <c r="Y16" s="53"/>
      <c r="Z16" s="53"/>
      <c r="AA16" s="53"/>
      <c r="AB16" s="53"/>
      <c r="AL16" s="225"/>
      <c r="AN16" s="53"/>
      <c r="AO16" s="53"/>
      <c r="AP16" s="53"/>
      <c r="AQ16" s="53"/>
      <c r="BM16" s="23"/>
    </row>
    <row r="17" spans="1:65" s="137" customFormat="1" ht="41.25" customHeight="1" thickBot="1">
      <c r="A17" s="65" t="s">
        <v>85</v>
      </c>
      <c r="B17" s="244">
        <v>1</v>
      </c>
      <c r="C17" s="244">
        <v>0.95</v>
      </c>
      <c r="D17" s="244">
        <v>1</v>
      </c>
      <c r="E17" s="244"/>
      <c r="F17" s="244"/>
      <c r="G17" s="244">
        <f>AVERAGE(B17:F17)</f>
        <v>0.98333333333333339</v>
      </c>
      <c r="H17" s="244" t="s">
        <v>86</v>
      </c>
      <c r="I17" s="244"/>
      <c r="J17" s="244"/>
      <c r="K17" s="244"/>
      <c r="L17" s="244"/>
      <c r="M17" s="244"/>
      <c r="N17" s="244"/>
      <c r="O17" s="244"/>
      <c r="Q17" s="244">
        <v>1</v>
      </c>
      <c r="R17" s="244">
        <v>0.95</v>
      </c>
      <c r="S17" s="245">
        <v>1</v>
      </c>
      <c r="T17" s="237">
        <v>0.95</v>
      </c>
      <c r="U17" s="244"/>
      <c r="V17" s="246">
        <v>0.97500000000000009</v>
      </c>
      <c r="W17" s="247" t="s">
        <v>86</v>
      </c>
      <c r="Y17" s="248"/>
      <c r="Z17" s="152"/>
      <c r="AA17" s="152"/>
      <c r="AB17" s="152"/>
      <c r="AF17" s="244">
        <v>1</v>
      </c>
      <c r="AG17" s="244">
        <v>0.95</v>
      </c>
      <c r="AH17" s="245">
        <v>1</v>
      </c>
      <c r="AI17" s="244">
        <v>0.95230000000000004</v>
      </c>
      <c r="AJ17" s="244">
        <v>1</v>
      </c>
      <c r="AK17" s="246">
        <f>AVERAGE(AF17:AJ17)</f>
        <v>0.98046000000000011</v>
      </c>
      <c r="AL17" s="247" t="s">
        <v>86</v>
      </c>
      <c r="AM17" s="137" t="s">
        <v>18</v>
      </c>
      <c r="AN17" s="248"/>
      <c r="AO17" s="152"/>
      <c r="AP17" s="152"/>
      <c r="AQ17" s="152"/>
    </row>
    <row r="22" spans="1:65" s="22" customFormat="1" ht="15" customHeight="1">
      <c r="BM22" s="23"/>
    </row>
    <row r="23" spans="1:65" s="22" customFormat="1" ht="15" hidden="1" customHeight="1">
      <c r="A23" s="249" t="s">
        <v>87</v>
      </c>
      <c r="B23" s="22">
        <f t="shared" ref="B23:M23" si="0">B24/B25</f>
        <v>3.2347919849043043E-3</v>
      </c>
      <c r="C23" s="22">
        <f t="shared" si="0"/>
        <v>5.4025974025974028E-3</v>
      </c>
      <c r="D23" s="22">
        <f t="shared" si="0"/>
        <v>6.4679771718452756E-3</v>
      </c>
      <c r="E23" s="22">
        <f t="shared" si="0"/>
        <v>2.4947333407251359E-3</v>
      </c>
      <c r="F23" s="22">
        <f t="shared" si="0"/>
        <v>3.5311042329656916E-3</v>
      </c>
      <c r="G23" s="22">
        <f t="shared" si="0"/>
        <v>3.4869617950272895E-3</v>
      </c>
      <c r="H23" s="22">
        <f t="shared" si="0"/>
        <v>9.9856727304302516E-4</v>
      </c>
      <c r="I23" s="22">
        <f t="shared" si="0"/>
        <v>1.0840695972681447E-3</v>
      </c>
      <c r="J23" s="22">
        <f t="shared" si="0"/>
        <v>1.8214127054642381E-3</v>
      </c>
      <c r="K23" s="22">
        <f t="shared" si="0"/>
        <v>1.2326263442002806E-3</v>
      </c>
      <c r="L23" s="22">
        <f t="shared" si="0"/>
        <v>1.3491165462616416E-3</v>
      </c>
      <c r="M23" s="22">
        <f t="shared" si="0"/>
        <v>3.3374319339539785E-3</v>
      </c>
      <c r="BM23" s="23"/>
    </row>
    <row r="24" spans="1:65" s="22" customFormat="1" ht="15" hidden="1" customHeight="1">
      <c r="A24" s="249" t="s">
        <v>88</v>
      </c>
      <c r="B24" s="22">
        <v>36</v>
      </c>
      <c r="C24" s="22">
        <v>52</v>
      </c>
      <c r="D24" s="22">
        <v>51</v>
      </c>
      <c r="E24" s="22">
        <v>45</v>
      </c>
      <c r="F24" s="22">
        <v>81</v>
      </c>
      <c r="G24" s="22">
        <f>234-165</f>
        <v>69</v>
      </c>
      <c r="H24" s="22">
        <v>23</v>
      </c>
      <c r="I24" s="22">
        <v>20</v>
      </c>
      <c r="J24" s="22">
        <v>41</v>
      </c>
      <c r="K24" s="22">
        <v>29</v>
      </c>
      <c r="L24" s="22">
        <v>31</v>
      </c>
      <c r="M24" s="22">
        <v>76</v>
      </c>
      <c r="BM24" s="23"/>
    </row>
    <row r="25" spans="1:65" s="22" customFormat="1" ht="15" hidden="1" customHeight="1">
      <c r="A25" s="249" t="s">
        <v>89</v>
      </c>
      <c r="B25" s="22">
        <v>11129</v>
      </c>
      <c r="C25" s="22">
        <v>9625</v>
      </c>
      <c r="D25" s="22">
        <v>7885</v>
      </c>
      <c r="E25" s="22">
        <v>18038</v>
      </c>
      <c r="F25" s="22">
        <v>22939</v>
      </c>
      <c r="G25" s="22">
        <v>19788</v>
      </c>
      <c r="H25" s="22">
        <v>23033</v>
      </c>
      <c r="I25" s="22">
        <v>18449</v>
      </c>
      <c r="J25" s="22">
        <v>22510</v>
      </c>
      <c r="K25" s="22">
        <v>23527</v>
      </c>
      <c r="L25" s="22">
        <v>22978</v>
      </c>
      <c r="M25" s="22">
        <v>22772</v>
      </c>
      <c r="BM25" s="23"/>
    </row>
  </sheetData>
  <mergeCells count="3">
    <mergeCell ref="B3:O3"/>
    <mergeCell ref="Q3:AD3"/>
    <mergeCell ref="AF3:AS3"/>
  </mergeCells>
  <pageMargins left="0.7" right="0.7" top="0.75" bottom="0.75" header="0.3" footer="0.3"/>
  <pageSetup paperSize="9" scale="17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22AC3-0F81-4491-BEFB-E3998879B281}">
  <sheetPr>
    <tabColor rgb="FF00B050"/>
    <pageSetUpPr fitToPage="1"/>
  </sheetPr>
  <dimension ref="A2:BE45"/>
  <sheetViews>
    <sheetView showGridLines="0" zoomScale="70" zoomScaleNormal="70" workbookViewId="0">
      <selection activeCell="G28" sqref="G28:H28"/>
    </sheetView>
  </sheetViews>
  <sheetFormatPr defaultColWidth="7.28515625" defaultRowHeight="15.75"/>
  <cols>
    <col min="1" max="1" width="64.28515625" style="22" bestFit="1" customWidth="1"/>
    <col min="2" max="2" width="7" style="22" bestFit="1" customWidth="1"/>
    <col min="3" max="3" width="6.85546875" style="22" bestFit="1" customWidth="1"/>
    <col min="4" max="5" width="5.85546875" style="22" bestFit="1" customWidth="1"/>
    <col min="6" max="6" width="4.5703125" style="22" bestFit="1" customWidth="1"/>
    <col min="7" max="7" width="5.28515625" style="22" bestFit="1" customWidth="1"/>
    <col min="8" max="8" width="4.5703125" style="22" bestFit="1" customWidth="1"/>
    <col min="9" max="9" width="7.28515625" style="22"/>
    <col min="10" max="11" width="7.140625" style="22" bestFit="1" customWidth="1"/>
    <col min="12" max="13" width="6.42578125" style="22" bestFit="1" customWidth="1"/>
    <col min="14" max="14" width="11.7109375" style="22" bestFit="1" customWidth="1"/>
    <col min="15" max="15" width="7.140625" style="22" bestFit="1" customWidth="1"/>
    <col min="16" max="16" width="7.28515625" style="22"/>
    <col min="17" max="17" width="7" style="22" bestFit="1" customWidth="1"/>
    <col min="18" max="18" width="6.85546875" style="22" bestFit="1" customWidth="1"/>
    <col min="19" max="20" width="5.85546875" style="22" bestFit="1" customWidth="1"/>
    <col min="21" max="21" width="4.5703125" style="22" bestFit="1" customWidth="1"/>
    <col min="22" max="22" width="5.28515625" style="22" bestFit="1" customWidth="1"/>
    <col min="23" max="23" width="4.5703125" style="22" bestFit="1" customWidth="1"/>
    <col min="24" max="24" width="7.28515625" style="22"/>
    <col min="25" max="26" width="7.140625" style="22" bestFit="1" customWidth="1"/>
    <col min="27" max="28" width="6.42578125" style="22" bestFit="1" customWidth="1"/>
    <col min="29" max="29" width="11.7109375" style="22" bestFit="1" customWidth="1"/>
    <col min="30" max="30" width="7.140625" style="22" bestFit="1" customWidth="1"/>
    <col min="31" max="31" width="7.28515625" style="22"/>
    <col min="32" max="32" width="7" style="22" bestFit="1" customWidth="1"/>
    <col min="33" max="33" width="6.85546875" style="22" bestFit="1" customWidth="1"/>
    <col min="34" max="35" width="5.85546875" style="22" bestFit="1" customWidth="1"/>
    <col min="36" max="36" width="4.5703125" style="22" bestFit="1" customWidth="1"/>
    <col min="37" max="37" width="5.28515625" style="22" bestFit="1" customWidth="1"/>
    <col min="38" max="38" width="4.5703125" style="22" bestFit="1" customWidth="1"/>
    <col min="39" max="39" width="7.28515625" style="22"/>
    <col min="40" max="41" width="7.140625" style="22" bestFit="1" customWidth="1"/>
    <col min="42" max="43" width="6.42578125" style="22" bestFit="1" customWidth="1"/>
    <col min="44" max="44" width="11.7109375" style="22" bestFit="1" customWidth="1"/>
    <col min="45" max="45" width="4.85546875" style="22" bestFit="1" customWidth="1"/>
    <col min="46" max="56" width="7.28515625" style="22"/>
    <col min="57" max="16384" width="7.28515625" style="23"/>
  </cols>
  <sheetData>
    <row r="2" spans="1:57" s="20" customFormat="1" ht="27.6" customHeight="1">
      <c r="A2" s="4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pans="1:57" s="22" customFormat="1" ht="19.5" customHeight="1">
      <c r="B3" s="315">
        <v>2022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21"/>
      <c r="Q3" s="315">
        <v>2023</v>
      </c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F3" s="315">
        <v>2024</v>
      </c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BE3" s="23"/>
    </row>
    <row r="4" spans="1:57" s="22" customFormat="1" ht="15.75" customHeight="1" thickBot="1"/>
    <row r="5" spans="1:57" s="22" customFormat="1" ht="38.25" customHeight="1" thickTop="1">
      <c r="A5" s="1" t="s">
        <v>90</v>
      </c>
      <c r="B5" s="2" t="s">
        <v>91</v>
      </c>
      <c r="C5" s="2" t="s">
        <v>2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35</v>
      </c>
      <c r="L5" s="2" t="s">
        <v>36</v>
      </c>
      <c r="M5" s="2" t="s">
        <v>37</v>
      </c>
      <c r="N5" s="2" t="s">
        <v>38</v>
      </c>
      <c r="O5" s="2" t="s">
        <v>14</v>
      </c>
      <c r="P5" s="50"/>
      <c r="Q5" s="2" t="s">
        <v>91</v>
      </c>
      <c r="R5" s="2" t="s">
        <v>2</v>
      </c>
      <c r="S5" s="2" t="s">
        <v>28</v>
      </c>
      <c r="T5" s="2" t="s">
        <v>29</v>
      </c>
      <c r="U5" s="2" t="s">
        <v>30</v>
      </c>
      <c r="V5" s="2" t="s">
        <v>31</v>
      </c>
      <c r="W5" s="2" t="s">
        <v>32</v>
      </c>
      <c r="X5" s="2" t="s">
        <v>33</v>
      </c>
      <c r="Y5" s="2" t="s">
        <v>34</v>
      </c>
      <c r="Z5" s="2" t="s">
        <v>35</v>
      </c>
      <c r="AA5" s="2" t="s">
        <v>36</v>
      </c>
      <c r="AB5" s="2" t="s">
        <v>37</v>
      </c>
      <c r="AC5" s="2" t="s">
        <v>38</v>
      </c>
      <c r="AD5" s="49" t="s">
        <v>14</v>
      </c>
      <c r="AF5" s="192" t="s">
        <v>91</v>
      </c>
      <c r="AG5" s="192" t="s">
        <v>2</v>
      </c>
      <c r="AH5" s="192" t="s">
        <v>28</v>
      </c>
      <c r="AI5" s="192" t="s">
        <v>29</v>
      </c>
      <c r="AJ5" s="192" t="s">
        <v>30</v>
      </c>
      <c r="AK5" s="192" t="s">
        <v>31</v>
      </c>
      <c r="AL5" s="192" t="s">
        <v>32</v>
      </c>
      <c r="AM5" s="192" t="s">
        <v>33</v>
      </c>
      <c r="AN5" s="192" t="s">
        <v>34</v>
      </c>
      <c r="AO5" s="192" t="s">
        <v>35</v>
      </c>
      <c r="AP5" s="192" t="s">
        <v>36</v>
      </c>
      <c r="AQ5" s="192" t="s">
        <v>37</v>
      </c>
      <c r="AR5" s="192" t="s">
        <v>38</v>
      </c>
      <c r="AS5" s="208" t="s">
        <v>237</v>
      </c>
    </row>
    <row r="6" spans="1:57" s="22" customFormat="1" ht="6.95" customHeight="1" thickBot="1">
      <c r="A6" s="1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50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50"/>
      <c r="AD6" s="50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50"/>
      <c r="AS6" s="50"/>
    </row>
    <row r="7" spans="1:57" s="22" customFormat="1" ht="42" customHeight="1" thickBot="1">
      <c r="A7" s="27" t="s">
        <v>92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f>SUM(B7:M7)/12</f>
        <v>0</v>
      </c>
      <c r="O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28">
        <v>0</v>
      </c>
      <c r="AD7" s="76">
        <v>0</v>
      </c>
      <c r="AF7" s="194">
        <v>0</v>
      </c>
      <c r="AG7" s="194">
        <v>0</v>
      </c>
      <c r="AH7" s="194">
        <v>0</v>
      </c>
      <c r="AI7" s="194">
        <v>0</v>
      </c>
      <c r="AJ7" s="194">
        <v>0</v>
      </c>
      <c r="AK7" s="194">
        <v>0</v>
      </c>
      <c r="AL7" s="194">
        <v>0</v>
      </c>
      <c r="AM7" s="194">
        <v>0</v>
      </c>
      <c r="AN7" s="194">
        <v>0</v>
      </c>
      <c r="AO7" s="194">
        <v>0</v>
      </c>
      <c r="AP7" s="194">
        <v>0</v>
      </c>
      <c r="AQ7" s="194">
        <v>0</v>
      </c>
      <c r="AR7" s="250">
        <f>SUM(AF7:AQ7)/12</f>
        <v>0</v>
      </c>
      <c r="AS7" s="251">
        <v>0</v>
      </c>
      <c r="BE7" s="23"/>
    </row>
    <row r="8" spans="1:57" s="22" customFormat="1" ht="6.95" customHeight="1" thickBot="1">
      <c r="A8" s="77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F8" s="252"/>
      <c r="AG8" s="252"/>
      <c r="AH8" s="252"/>
      <c r="AI8" s="252"/>
      <c r="AJ8" s="252"/>
      <c r="AK8" s="252"/>
      <c r="AL8" s="252"/>
      <c r="AM8" s="252"/>
      <c r="AN8" s="252"/>
      <c r="AO8" s="252"/>
      <c r="AP8" s="252"/>
      <c r="AQ8" s="252"/>
    </row>
    <row r="9" spans="1:57" s="22" customFormat="1" ht="42.75" customHeight="1" thickBot="1">
      <c r="A9" s="27" t="s">
        <v>93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f>SUM(B9:M9)</f>
        <v>0</v>
      </c>
      <c r="O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60">
        <v>0</v>
      </c>
      <c r="AD9" s="76">
        <v>0</v>
      </c>
      <c r="AF9" s="194">
        <v>0</v>
      </c>
      <c r="AG9" s="194">
        <v>0</v>
      </c>
      <c r="AH9" s="194">
        <v>0</v>
      </c>
      <c r="AI9" s="194">
        <v>0</v>
      </c>
      <c r="AJ9" s="194">
        <v>0</v>
      </c>
      <c r="AK9" s="194">
        <v>0</v>
      </c>
      <c r="AL9" s="194">
        <v>0</v>
      </c>
      <c r="AM9" s="194">
        <v>0</v>
      </c>
      <c r="AN9" s="194">
        <v>0</v>
      </c>
      <c r="AO9" s="194">
        <v>0</v>
      </c>
      <c r="AP9" s="194">
        <v>0</v>
      </c>
      <c r="AQ9" s="194">
        <v>0</v>
      </c>
      <c r="AR9" s="253">
        <f>SUM(AF9:AQ9)</f>
        <v>0</v>
      </c>
      <c r="AS9" s="251">
        <v>0</v>
      </c>
      <c r="BE9" s="23"/>
    </row>
    <row r="10" spans="1:57" s="22" customFormat="1" ht="11.25" customHeight="1" thickBot="1"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F10" s="254"/>
      <c r="AG10" s="254"/>
      <c r="AH10" s="254"/>
      <c r="AI10" s="254"/>
      <c r="AJ10" s="254"/>
      <c r="AK10" s="254"/>
      <c r="AL10" s="254"/>
      <c r="AM10" s="254"/>
      <c r="AN10" s="254"/>
      <c r="AO10" s="254"/>
      <c r="AP10" s="254"/>
      <c r="AQ10" s="254"/>
    </row>
    <row r="11" spans="1:57" s="22" customFormat="1" ht="42.75" customHeight="1" thickBot="1">
      <c r="A11" s="27" t="s">
        <v>94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f>SUM(B11:M11)</f>
        <v>0</v>
      </c>
      <c r="O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60">
        <v>0</v>
      </c>
      <c r="AD11" s="76">
        <v>0</v>
      </c>
      <c r="AF11" s="194">
        <v>0</v>
      </c>
      <c r="AG11" s="194">
        <v>0</v>
      </c>
      <c r="AH11" s="194">
        <v>0</v>
      </c>
      <c r="AI11" s="194">
        <v>0</v>
      </c>
      <c r="AJ11" s="194">
        <v>0</v>
      </c>
      <c r="AK11" s="194">
        <v>0</v>
      </c>
      <c r="AL11" s="194">
        <v>0</v>
      </c>
      <c r="AM11" s="194">
        <v>0</v>
      </c>
      <c r="AN11" s="194">
        <v>0</v>
      </c>
      <c r="AO11" s="194">
        <v>0</v>
      </c>
      <c r="AP11" s="194">
        <v>0</v>
      </c>
      <c r="AQ11" s="194">
        <v>0</v>
      </c>
      <c r="AR11" s="253">
        <f>SUM(AF11:AQ11)</f>
        <v>0</v>
      </c>
      <c r="AS11" s="251">
        <v>0</v>
      </c>
      <c r="BE11" s="23"/>
    </row>
    <row r="12" spans="1:57" s="22" customFormat="1" ht="10.5" customHeight="1" thickBot="1"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F12" s="254"/>
      <c r="AG12" s="254"/>
      <c r="AH12" s="254"/>
      <c r="AI12" s="254"/>
      <c r="AJ12" s="254"/>
      <c r="AK12" s="254"/>
      <c r="AL12" s="254"/>
      <c r="AM12" s="254"/>
      <c r="AN12" s="254"/>
      <c r="AO12" s="254"/>
      <c r="AP12" s="254"/>
      <c r="AQ12" s="254"/>
    </row>
    <row r="13" spans="1:57" s="22" customFormat="1" ht="42.75" customHeight="1" thickBot="1">
      <c r="A13" s="27" t="s">
        <v>95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f>SUM(B13:M13)</f>
        <v>0</v>
      </c>
      <c r="O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60">
        <v>0</v>
      </c>
      <c r="AD13" s="76">
        <v>0</v>
      </c>
      <c r="AF13" s="194">
        <v>0</v>
      </c>
      <c r="AG13" s="194">
        <v>0</v>
      </c>
      <c r="AH13" s="194">
        <v>0</v>
      </c>
      <c r="AI13" s="194">
        <v>0</v>
      </c>
      <c r="AJ13" s="194">
        <v>0</v>
      </c>
      <c r="AK13" s="194">
        <v>0</v>
      </c>
      <c r="AL13" s="194">
        <v>0</v>
      </c>
      <c r="AM13" s="194">
        <v>0</v>
      </c>
      <c r="AN13" s="194">
        <v>0</v>
      </c>
      <c r="AO13" s="194">
        <v>0</v>
      </c>
      <c r="AP13" s="194">
        <v>0</v>
      </c>
      <c r="AQ13" s="194">
        <v>0</v>
      </c>
      <c r="AR13" s="253">
        <f>SUM(AF13:AQ13)</f>
        <v>0</v>
      </c>
      <c r="AS13" s="251">
        <v>0</v>
      </c>
      <c r="BE13" s="23"/>
    </row>
    <row r="14" spans="1:57" s="22" customFormat="1"/>
    <row r="15" spans="1:57" s="22" customFormat="1"/>
    <row r="16" spans="1:57" s="22" customFormat="1"/>
    <row r="17" s="22" customFormat="1"/>
    <row r="18" s="22" customFormat="1"/>
    <row r="19" s="22" customFormat="1"/>
    <row r="20" s="22" customFormat="1"/>
    <row r="21" s="22" customFormat="1"/>
    <row r="22" s="22" customFormat="1"/>
    <row r="23" s="22" customFormat="1"/>
    <row r="24" s="22" customFormat="1"/>
    <row r="25" s="22" customFormat="1"/>
    <row r="26" s="22" customFormat="1"/>
    <row r="27" s="22" customFormat="1"/>
    <row r="28" s="22" customFormat="1"/>
    <row r="29" s="22" customFormat="1"/>
    <row r="30" s="22" customFormat="1"/>
    <row r="31" s="22" customFormat="1"/>
    <row r="32" s="22" customFormat="1"/>
    <row r="33" s="22" customFormat="1"/>
    <row r="34" s="22" customFormat="1"/>
    <row r="35" s="22" customFormat="1"/>
    <row r="36" s="22" customFormat="1"/>
    <row r="37" s="22" customFormat="1"/>
    <row r="38" s="22" customFormat="1"/>
    <row r="39" s="22" customFormat="1"/>
    <row r="40" s="22" customFormat="1"/>
    <row r="41" s="22" customFormat="1"/>
    <row r="42" s="22" customFormat="1"/>
    <row r="43" s="22" customFormat="1"/>
    <row r="44" s="22" customFormat="1"/>
    <row r="45" s="22" customFormat="1"/>
  </sheetData>
  <mergeCells count="3">
    <mergeCell ref="B3:O3"/>
    <mergeCell ref="Q3:AD3"/>
    <mergeCell ref="AF3:AS3"/>
  </mergeCells>
  <pageMargins left="0.7" right="0.7" top="0.75" bottom="0.75" header="0.3" footer="0.3"/>
  <pageSetup paperSize="9" scale="1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6A5C-3563-4676-B4A7-F51ABE4DD4EA}">
  <sheetPr>
    <tabColor rgb="FF00B050"/>
    <pageSetUpPr fitToPage="1"/>
  </sheetPr>
  <dimension ref="B2:AF69"/>
  <sheetViews>
    <sheetView showGridLines="0" zoomScale="85" zoomScaleNormal="85" workbookViewId="0">
      <selection activeCell="R31" sqref="R31"/>
    </sheetView>
  </sheetViews>
  <sheetFormatPr defaultColWidth="8.7109375" defaultRowHeight="15.75"/>
  <cols>
    <col min="1" max="1" width="8.7109375" style="53"/>
    <col min="2" max="2" width="27.28515625" style="53" customWidth="1"/>
    <col min="3" max="3" width="17.28515625" style="53" customWidth="1"/>
    <col min="4" max="4" width="14.7109375" style="53" customWidth="1"/>
    <col min="5" max="5" width="15.85546875" style="53" customWidth="1"/>
    <col min="6" max="6" width="19" style="53" customWidth="1"/>
    <col min="7" max="7" width="14.42578125" style="53" customWidth="1"/>
    <col min="8" max="8" width="16.85546875" style="53" customWidth="1"/>
    <col min="9" max="9" width="18.140625" style="53" customWidth="1"/>
    <col min="10" max="10" width="20.28515625" style="53" customWidth="1"/>
    <col min="11" max="11" width="16.5703125" style="53" customWidth="1"/>
    <col min="12" max="12" width="17.28515625" style="53" customWidth="1"/>
    <col min="13" max="13" width="16.28515625" style="53" customWidth="1"/>
    <col min="14" max="14" width="18.5703125" style="53" customWidth="1"/>
    <col min="15" max="15" width="15.42578125" style="53" customWidth="1"/>
    <col min="16" max="16" width="6.7109375" style="53" customWidth="1"/>
    <col min="17" max="17" width="7.5703125" style="53" customWidth="1"/>
    <col min="18" max="16384" width="8.7109375" style="53"/>
  </cols>
  <sheetData>
    <row r="2" spans="2:32" s="20" customFormat="1" ht="27.6" customHeight="1"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</row>
    <row r="3" spans="2:32" s="20" customFormat="1" ht="27.6" customHeight="1" thickBot="1">
      <c r="B3" s="314">
        <v>2022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</row>
    <row r="4" spans="2:32" ht="20.25" customHeight="1" thickTop="1" thickBot="1">
      <c r="B4" s="266" t="s">
        <v>96</v>
      </c>
      <c r="C4" s="7" t="s">
        <v>97</v>
      </c>
      <c r="D4" s="8" t="s">
        <v>98</v>
      </c>
      <c r="E4" s="2" t="s">
        <v>99</v>
      </c>
      <c r="F4" s="8" t="s">
        <v>100</v>
      </c>
      <c r="G4" s="8" t="s">
        <v>101</v>
      </c>
      <c r="H4" s="8" t="s">
        <v>102</v>
      </c>
      <c r="I4" s="8" t="s">
        <v>103</v>
      </c>
      <c r="J4" s="8" t="s">
        <v>104</v>
      </c>
      <c r="K4" s="8" t="s">
        <v>105</v>
      </c>
      <c r="L4" s="8" t="s">
        <v>106</v>
      </c>
      <c r="M4" s="8" t="s">
        <v>107</v>
      </c>
      <c r="N4" s="8" t="s">
        <v>108</v>
      </c>
      <c r="O4" s="9" t="s">
        <v>109</v>
      </c>
      <c r="P4" s="316" t="s">
        <v>14</v>
      </c>
      <c r="Q4" s="317"/>
    </row>
    <row r="5" spans="2:32" ht="19.5" customHeight="1" thickBot="1">
      <c r="B5" s="10" t="s">
        <v>110</v>
      </c>
      <c r="C5" s="267">
        <v>0</v>
      </c>
      <c r="D5" s="267">
        <v>0</v>
      </c>
      <c r="E5" s="267">
        <v>0</v>
      </c>
      <c r="F5" s="267">
        <v>0</v>
      </c>
      <c r="G5" s="267">
        <v>0</v>
      </c>
      <c r="H5" s="267">
        <v>0</v>
      </c>
      <c r="I5" s="267">
        <v>0</v>
      </c>
      <c r="J5" s="267">
        <v>0</v>
      </c>
      <c r="K5" s="267">
        <v>0</v>
      </c>
      <c r="L5" s="267">
        <v>0</v>
      </c>
      <c r="M5" s="267">
        <v>0</v>
      </c>
      <c r="N5" s="267">
        <v>0</v>
      </c>
      <c r="O5" s="268">
        <f>SUM(C5:N5)</f>
        <v>0</v>
      </c>
      <c r="P5" s="318">
        <v>0</v>
      </c>
      <c r="Q5" s="319"/>
      <c r="S5" s="248"/>
    </row>
    <row r="6" spans="2:32" ht="19.5" customHeight="1" thickBot="1">
      <c r="B6" s="10" t="s">
        <v>111</v>
      </c>
      <c r="C6" s="267">
        <v>0</v>
      </c>
      <c r="D6" s="267">
        <v>0</v>
      </c>
      <c r="E6" s="267">
        <v>0</v>
      </c>
      <c r="F6" s="267">
        <v>0</v>
      </c>
      <c r="G6" s="267">
        <v>0</v>
      </c>
      <c r="H6" s="267">
        <v>0</v>
      </c>
      <c r="I6" s="267">
        <v>0</v>
      </c>
      <c r="J6" s="267">
        <v>0</v>
      </c>
      <c r="K6" s="267">
        <v>0</v>
      </c>
      <c r="L6" s="267">
        <v>0</v>
      </c>
      <c r="M6" s="267">
        <v>0</v>
      </c>
      <c r="N6" s="267">
        <v>0</v>
      </c>
      <c r="O6" s="268">
        <f>SUM(C6:N6)</f>
        <v>0</v>
      </c>
      <c r="P6" s="318">
        <v>0</v>
      </c>
      <c r="Q6" s="319"/>
      <c r="S6" s="248"/>
    </row>
    <row r="7" spans="2:32" ht="15" customHeight="1" thickBot="1"/>
    <row r="8" spans="2:32" ht="16.5" customHeight="1" thickBot="1">
      <c r="B8" s="320" t="s">
        <v>112</v>
      </c>
      <c r="C8" s="321"/>
      <c r="D8" s="322"/>
      <c r="E8" s="323" t="s">
        <v>113</v>
      </c>
      <c r="F8" s="324"/>
      <c r="G8" s="324"/>
      <c r="H8" s="324"/>
      <c r="I8" s="324"/>
      <c r="J8" s="324"/>
      <c r="K8" s="324"/>
      <c r="L8" s="324"/>
      <c r="M8" s="324"/>
      <c r="N8" s="324"/>
      <c r="O8" s="325"/>
    </row>
    <row r="9" spans="2:32" ht="30" customHeight="1" thickBot="1">
      <c r="B9" s="334" t="s">
        <v>114</v>
      </c>
      <c r="C9" s="335"/>
      <c r="D9" s="336"/>
      <c r="E9" s="337" t="s">
        <v>115</v>
      </c>
      <c r="F9" s="338"/>
      <c r="G9" s="339"/>
      <c r="H9" s="337" t="s">
        <v>116</v>
      </c>
      <c r="I9" s="338"/>
      <c r="J9" s="339"/>
      <c r="K9" s="337" t="s">
        <v>117</v>
      </c>
      <c r="L9" s="338"/>
      <c r="M9" s="339"/>
      <c r="N9" s="337" t="s">
        <v>118</v>
      </c>
      <c r="O9" s="339"/>
    </row>
    <row r="10" spans="2:32" ht="18.75" customHeight="1" thickBot="1">
      <c r="B10" s="340" t="s">
        <v>119</v>
      </c>
      <c r="C10" s="341"/>
      <c r="D10" s="342"/>
      <c r="E10" s="326" t="s">
        <v>120</v>
      </c>
      <c r="F10" s="327"/>
      <c r="G10" s="328"/>
      <c r="H10" s="326"/>
      <c r="I10" s="327"/>
      <c r="J10" s="328"/>
      <c r="K10" s="329" t="s">
        <v>121</v>
      </c>
      <c r="L10" s="330"/>
      <c r="M10" s="331"/>
      <c r="N10" s="332" t="s">
        <v>122</v>
      </c>
      <c r="O10" s="333"/>
      <c r="Q10" s="248"/>
    </row>
    <row r="11" spans="2:32" ht="18.75" customHeight="1" thickBot="1">
      <c r="B11" s="343"/>
      <c r="C11" s="344"/>
      <c r="D11" s="345"/>
      <c r="E11" s="326" t="s">
        <v>123</v>
      </c>
      <c r="F11" s="327"/>
      <c r="G11" s="328"/>
      <c r="H11" s="326"/>
      <c r="I11" s="327"/>
      <c r="J11" s="328"/>
      <c r="K11" s="329" t="s">
        <v>124</v>
      </c>
      <c r="L11" s="330"/>
      <c r="M11" s="331"/>
      <c r="N11" s="332" t="s">
        <v>122</v>
      </c>
      <c r="O11" s="333"/>
      <c r="Q11" s="248"/>
    </row>
    <row r="12" spans="2:32" ht="18.75" customHeight="1" thickBot="1">
      <c r="B12" s="346"/>
      <c r="C12" s="347"/>
      <c r="D12" s="348"/>
      <c r="E12" s="326" t="s">
        <v>125</v>
      </c>
      <c r="F12" s="327"/>
      <c r="G12" s="328"/>
      <c r="H12" s="326"/>
      <c r="I12" s="327"/>
      <c r="J12" s="328"/>
      <c r="K12" s="329" t="s">
        <v>126</v>
      </c>
      <c r="L12" s="330"/>
      <c r="M12" s="331"/>
      <c r="N12" s="332" t="s">
        <v>122</v>
      </c>
      <c r="O12" s="333"/>
      <c r="Q12" s="248"/>
    </row>
    <row r="13" spans="2:32" ht="18.75" customHeight="1" thickBot="1">
      <c r="B13" s="340" t="s">
        <v>127</v>
      </c>
      <c r="C13" s="341"/>
      <c r="D13" s="342"/>
      <c r="E13" s="326" t="s">
        <v>128</v>
      </c>
      <c r="F13" s="327"/>
      <c r="G13" s="328"/>
      <c r="H13" s="323" t="s">
        <v>129</v>
      </c>
      <c r="I13" s="324"/>
      <c r="J13" s="325"/>
      <c r="K13" s="329" t="s">
        <v>129</v>
      </c>
      <c r="L13" s="330"/>
      <c r="M13" s="331"/>
      <c r="N13" s="332" t="s">
        <v>122</v>
      </c>
      <c r="O13" s="333"/>
      <c r="Q13" s="248"/>
    </row>
    <row r="14" spans="2:32" ht="18.75" customHeight="1" thickBot="1">
      <c r="B14" s="343"/>
      <c r="C14" s="344"/>
      <c r="D14" s="345"/>
      <c r="E14" s="326" t="s">
        <v>130</v>
      </c>
      <c r="F14" s="327"/>
      <c r="G14" s="328"/>
      <c r="H14" s="323" t="s">
        <v>129</v>
      </c>
      <c r="I14" s="324"/>
      <c r="J14" s="325"/>
      <c r="K14" s="329" t="s">
        <v>129</v>
      </c>
      <c r="L14" s="330"/>
      <c r="M14" s="331"/>
      <c r="N14" s="332" t="s">
        <v>122</v>
      </c>
      <c r="O14" s="333"/>
      <c r="Q14" s="248"/>
    </row>
    <row r="15" spans="2:32" ht="18.75" customHeight="1" thickBot="1">
      <c r="B15" s="346"/>
      <c r="C15" s="347"/>
      <c r="D15" s="348"/>
      <c r="E15" s="326" t="s">
        <v>131</v>
      </c>
      <c r="F15" s="327"/>
      <c r="G15" s="328"/>
      <c r="H15" s="323" t="s">
        <v>129</v>
      </c>
      <c r="I15" s="324"/>
      <c r="J15" s="325"/>
      <c r="K15" s="329" t="s">
        <v>129</v>
      </c>
      <c r="L15" s="330"/>
      <c r="M15" s="331"/>
      <c r="N15" s="332" t="s">
        <v>122</v>
      </c>
      <c r="O15" s="333"/>
      <c r="Q15" s="248"/>
    </row>
    <row r="16" spans="2:32" ht="15" customHeight="1">
      <c r="B16" s="355" t="s">
        <v>132</v>
      </c>
      <c r="C16" s="355"/>
      <c r="D16" s="355"/>
      <c r="E16" s="355"/>
      <c r="F16" s="355"/>
      <c r="G16" s="355"/>
      <c r="H16" s="355"/>
      <c r="I16" s="355"/>
      <c r="J16" s="355"/>
      <c r="K16" s="355"/>
      <c r="L16" s="355"/>
      <c r="M16" s="355"/>
      <c r="N16" s="355"/>
      <c r="O16" s="355"/>
    </row>
    <row r="17" spans="2:17">
      <c r="B17" s="356"/>
      <c r="C17" s="356"/>
      <c r="D17" s="356"/>
      <c r="E17" s="356"/>
      <c r="F17" s="356"/>
      <c r="G17" s="356"/>
      <c r="H17" s="356"/>
      <c r="I17" s="356"/>
      <c r="J17" s="356"/>
      <c r="K17" s="356"/>
      <c r="L17" s="356"/>
      <c r="M17" s="356"/>
      <c r="N17" s="356"/>
      <c r="O17" s="356"/>
    </row>
    <row r="20" spans="2:17" ht="21.75" thickBot="1">
      <c r="B20" s="314">
        <v>2023</v>
      </c>
    </row>
    <row r="21" spans="2:17" ht="17.25" thickTop="1" thickBot="1">
      <c r="B21" s="266" t="s">
        <v>96</v>
      </c>
      <c r="C21" s="7" t="s">
        <v>97</v>
      </c>
      <c r="D21" s="8" t="s">
        <v>98</v>
      </c>
      <c r="E21" s="2" t="s">
        <v>99</v>
      </c>
      <c r="F21" s="8" t="s">
        <v>100</v>
      </c>
      <c r="G21" s="8" t="s">
        <v>101</v>
      </c>
      <c r="H21" s="8" t="s">
        <v>102</v>
      </c>
      <c r="I21" s="8" t="s">
        <v>103</v>
      </c>
      <c r="J21" s="8" t="s">
        <v>104</v>
      </c>
      <c r="K21" s="8" t="s">
        <v>105</v>
      </c>
      <c r="L21" s="8" t="s">
        <v>106</v>
      </c>
      <c r="M21" s="8" t="s">
        <v>107</v>
      </c>
      <c r="N21" s="8" t="s">
        <v>108</v>
      </c>
      <c r="O21" s="9" t="s">
        <v>109</v>
      </c>
      <c r="P21" s="357" t="s">
        <v>14</v>
      </c>
      <c r="Q21" s="358"/>
    </row>
    <row r="22" spans="2:17" ht="16.5" thickBot="1">
      <c r="B22" s="10" t="s">
        <v>110</v>
      </c>
      <c r="C22" s="269">
        <v>0</v>
      </c>
      <c r="D22" s="269">
        <v>0</v>
      </c>
      <c r="E22" s="269">
        <v>0</v>
      </c>
      <c r="F22" s="269">
        <v>0</v>
      </c>
      <c r="G22" s="269">
        <v>0</v>
      </c>
      <c r="H22" s="269">
        <v>0</v>
      </c>
      <c r="I22" s="269">
        <v>0</v>
      </c>
      <c r="J22" s="269">
        <v>0</v>
      </c>
      <c r="K22" s="269">
        <v>0</v>
      </c>
      <c r="L22" s="269">
        <v>0</v>
      </c>
      <c r="M22" s="269">
        <v>0</v>
      </c>
      <c r="N22" s="269">
        <v>0</v>
      </c>
      <c r="O22" s="268">
        <f>SUM(C22:N22)</f>
        <v>0</v>
      </c>
      <c r="P22" s="349">
        <v>0</v>
      </c>
      <c r="Q22" s="350"/>
    </row>
    <row r="23" spans="2:17" ht="16.5" thickBot="1">
      <c r="B23" s="10" t="s">
        <v>111</v>
      </c>
      <c r="C23" s="269">
        <v>0</v>
      </c>
      <c r="D23" s="269">
        <v>0</v>
      </c>
      <c r="E23" s="269">
        <v>0</v>
      </c>
      <c r="F23" s="269">
        <v>0</v>
      </c>
      <c r="G23" s="269">
        <v>0</v>
      </c>
      <c r="H23" s="269">
        <v>0</v>
      </c>
      <c r="I23" s="269">
        <v>0</v>
      </c>
      <c r="J23" s="269">
        <v>0</v>
      </c>
      <c r="K23" s="269">
        <v>0</v>
      </c>
      <c r="L23" s="269">
        <v>0</v>
      </c>
      <c r="M23" s="269">
        <v>0</v>
      </c>
      <c r="N23" s="269">
        <v>0</v>
      </c>
      <c r="O23" s="268">
        <f>SUM(C23:N23)</f>
        <v>0</v>
      </c>
      <c r="P23" s="349">
        <v>0</v>
      </c>
      <c r="Q23" s="350"/>
    </row>
    <row r="24" spans="2:17" ht="16.5" thickBot="1"/>
    <row r="25" spans="2:17" ht="16.5" thickBot="1">
      <c r="B25" s="351" t="s">
        <v>112</v>
      </c>
      <c r="C25" s="352"/>
      <c r="D25" s="350"/>
      <c r="E25" s="353" t="s">
        <v>113</v>
      </c>
      <c r="F25" s="352"/>
      <c r="G25" s="352"/>
      <c r="H25" s="352"/>
      <c r="I25" s="352"/>
      <c r="J25" s="352"/>
      <c r="K25" s="352"/>
      <c r="L25" s="352"/>
      <c r="M25" s="352"/>
      <c r="N25" s="352"/>
      <c r="O25" s="350"/>
    </row>
    <row r="26" spans="2:17" ht="16.5" thickBot="1">
      <c r="B26" s="334" t="s">
        <v>114</v>
      </c>
      <c r="C26" s="352"/>
      <c r="D26" s="352"/>
      <c r="E26" s="354" t="s">
        <v>115</v>
      </c>
      <c r="F26" s="352"/>
      <c r="G26" s="350"/>
      <c r="H26" s="354" t="s">
        <v>216</v>
      </c>
      <c r="I26" s="352"/>
      <c r="J26" s="350"/>
      <c r="K26" s="354" t="s">
        <v>117</v>
      </c>
      <c r="L26" s="352"/>
      <c r="M26" s="350"/>
      <c r="N26" s="354" t="s">
        <v>118</v>
      </c>
      <c r="O26" s="350"/>
    </row>
    <row r="27" spans="2:17" ht="16.5" thickBot="1">
      <c r="B27" s="80"/>
      <c r="C27" s="81"/>
      <c r="D27" s="81"/>
      <c r="E27" s="361" t="s">
        <v>217</v>
      </c>
      <c r="F27" s="352"/>
      <c r="G27" s="350"/>
      <c r="H27" s="362" t="s">
        <v>218</v>
      </c>
      <c r="I27" s="352"/>
      <c r="J27" s="350"/>
      <c r="K27" s="362" t="s">
        <v>219</v>
      </c>
      <c r="L27" s="352"/>
      <c r="M27" s="350"/>
      <c r="N27" s="360" t="s">
        <v>122</v>
      </c>
      <c r="O27" s="350"/>
    </row>
    <row r="28" spans="2:17" ht="16.5" thickBot="1">
      <c r="B28" s="366" t="s">
        <v>220</v>
      </c>
      <c r="C28" s="365"/>
      <c r="D28" s="367"/>
      <c r="E28" s="359" t="s">
        <v>221</v>
      </c>
      <c r="F28" s="352"/>
      <c r="G28" s="350"/>
      <c r="H28" s="359">
        <v>500</v>
      </c>
      <c r="I28" s="352"/>
      <c r="J28" s="350"/>
      <c r="K28" s="359" t="s">
        <v>222</v>
      </c>
      <c r="L28" s="352"/>
      <c r="M28" s="350"/>
      <c r="N28" s="360" t="s">
        <v>122</v>
      </c>
      <c r="O28" s="350"/>
      <c r="Q28" s="248"/>
    </row>
    <row r="29" spans="2:17" ht="16.5" thickBot="1">
      <c r="B29" s="368"/>
      <c r="C29" s="365"/>
      <c r="D29" s="367"/>
      <c r="E29" s="359" t="s">
        <v>223</v>
      </c>
      <c r="F29" s="352"/>
      <c r="G29" s="350"/>
      <c r="H29" s="359">
        <v>30</v>
      </c>
      <c r="I29" s="352"/>
      <c r="J29" s="350"/>
      <c r="K29" s="359" t="s">
        <v>224</v>
      </c>
      <c r="L29" s="352"/>
      <c r="M29" s="350"/>
      <c r="N29" s="360" t="s">
        <v>122</v>
      </c>
      <c r="O29" s="350"/>
      <c r="Q29" s="248"/>
    </row>
    <row r="30" spans="2:17" ht="16.5" thickBot="1">
      <c r="B30" s="368"/>
      <c r="C30" s="365"/>
      <c r="D30" s="367"/>
      <c r="E30" s="359" t="s">
        <v>225</v>
      </c>
      <c r="F30" s="352"/>
      <c r="G30" s="350"/>
      <c r="H30" s="359">
        <v>25</v>
      </c>
      <c r="I30" s="352"/>
      <c r="J30" s="350"/>
      <c r="K30" s="359" t="s">
        <v>226</v>
      </c>
      <c r="L30" s="352"/>
      <c r="M30" s="350"/>
      <c r="N30" s="360" t="s">
        <v>122</v>
      </c>
      <c r="O30" s="350"/>
      <c r="Q30" s="248"/>
    </row>
    <row r="31" spans="2:17" ht="16.5" thickBot="1">
      <c r="B31" s="368"/>
      <c r="C31" s="365"/>
      <c r="D31" s="367"/>
      <c r="E31" s="359" t="s">
        <v>227</v>
      </c>
      <c r="F31" s="352"/>
      <c r="G31" s="350"/>
      <c r="H31" s="359">
        <v>350</v>
      </c>
      <c r="I31" s="352"/>
      <c r="J31" s="350"/>
      <c r="K31" s="359" t="s">
        <v>228</v>
      </c>
      <c r="L31" s="352"/>
      <c r="M31" s="350"/>
      <c r="N31" s="360" t="s">
        <v>122</v>
      </c>
      <c r="O31" s="350"/>
      <c r="Q31" s="248"/>
    </row>
    <row r="32" spans="2:17" ht="16.5" thickBot="1">
      <c r="B32" s="368"/>
      <c r="C32" s="365"/>
      <c r="D32" s="367"/>
      <c r="E32" s="359" t="s">
        <v>229</v>
      </c>
      <c r="F32" s="352"/>
      <c r="G32" s="350"/>
      <c r="H32" s="359">
        <v>300</v>
      </c>
      <c r="I32" s="352"/>
      <c r="J32" s="350"/>
      <c r="K32" s="359" t="s">
        <v>230</v>
      </c>
      <c r="L32" s="352"/>
      <c r="M32" s="350"/>
      <c r="N32" s="360" t="s">
        <v>122</v>
      </c>
      <c r="O32" s="350"/>
      <c r="Q32" s="248"/>
    </row>
    <row r="33" spans="2:17" ht="16.5" thickBot="1">
      <c r="B33" s="369"/>
      <c r="C33" s="370"/>
      <c r="D33" s="371"/>
      <c r="E33" s="359" t="s">
        <v>231</v>
      </c>
      <c r="F33" s="352"/>
      <c r="G33" s="350"/>
      <c r="H33" s="359">
        <v>30</v>
      </c>
      <c r="I33" s="352"/>
      <c r="J33" s="350"/>
      <c r="K33" s="359" t="s">
        <v>232</v>
      </c>
      <c r="L33" s="352"/>
      <c r="M33" s="350"/>
      <c r="N33" s="360" t="s">
        <v>122</v>
      </c>
      <c r="O33" s="350"/>
      <c r="Q33" s="248"/>
    </row>
    <row r="34" spans="2:17">
      <c r="B34" s="363" t="s">
        <v>233</v>
      </c>
      <c r="C34" s="364"/>
      <c r="D34" s="364"/>
      <c r="E34" s="364"/>
      <c r="F34" s="364"/>
      <c r="G34" s="364"/>
      <c r="H34" s="364"/>
      <c r="I34" s="364"/>
      <c r="J34" s="364"/>
      <c r="K34" s="364"/>
      <c r="L34" s="364"/>
      <c r="M34" s="364"/>
      <c r="N34" s="364"/>
      <c r="O34" s="364"/>
    </row>
    <row r="35" spans="2:17">
      <c r="B35" s="365"/>
      <c r="C35" s="365"/>
      <c r="D35" s="365"/>
      <c r="E35" s="365"/>
      <c r="F35" s="365"/>
      <c r="G35" s="365"/>
      <c r="H35" s="365"/>
      <c r="I35" s="365"/>
      <c r="J35" s="365"/>
      <c r="K35" s="365"/>
      <c r="L35" s="365"/>
      <c r="M35" s="365"/>
      <c r="N35" s="365"/>
      <c r="O35" s="365"/>
    </row>
    <row r="39" spans="2:17" ht="21.75" thickBot="1">
      <c r="B39" s="314">
        <v>2024</v>
      </c>
    </row>
    <row r="40" spans="2:17" ht="17.25" thickTop="1" thickBot="1">
      <c r="B40" s="266" t="s">
        <v>96</v>
      </c>
      <c r="C40" s="7" t="s">
        <v>97</v>
      </c>
      <c r="D40" s="8" t="s">
        <v>98</v>
      </c>
      <c r="E40" s="2" t="s">
        <v>99</v>
      </c>
      <c r="F40" s="8" t="s">
        <v>100</v>
      </c>
      <c r="G40" s="8" t="s">
        <v>101</v>
      </c>
      <c r="H40" s="8" t="s">
        <v>102</v>
      </c>
      <c r="I40" s="8" t="s">
        <v>103</v>
      </c>
      <c r="J40" s="8" t="s">
        <v>104</v>
      </c>
      <c r="K40" s="8" t="s">
        <v>105</v>
      </c>
      <c r="L40" s="8" t="s">
        <v>106</v>
      </c>
      <c r="M40" s="8" t="s">
        <v>107</v>
      </c>
      <c r="N40" s="8" t="s">
        <v>108</v>
      </c>
      <c r="O40" s="9" t="s">
        <v>109</v>
      </c>
      <c r="P40" s="357" t="s">
        <v>237</v>
      </c>
      <c r="Q40" s="358"/>
    </row>
    <row r="41" spans="2:17" ht="16.5" thickBot="1">
      <c r="B41" s="10" t="s">
        <v>110</v>
      </c>
      <c r="C41" s="270">
        <v>0</v>
      </c>
      <c r="D41" s="270">
        <v>0</v>
      </c>
      <c r="E41" s="270">
        <v>0</v>
      </c>
      <c r="F41" s="270">
        <v>0</v>
      </c>
      <c r="G41" s="270">
        <v>0</v>
      </c>
      <c r="H41" s="270">
        <v>0</v>
      </c>
      <c r="I41" s="270">
        <v>0</v>
      </c>
      <c r="J41" s="270">
        <v>0</v>
      </c>
      <c r="K41" s="270">
        <v>0</v>
      </c>
      <c r="L41" s="270">
        <v>0</v>
      </c>
      <c r="M41" s="270">
        <v>0</v>
      </c>
      <c r="N41" s="270">
        <v>0</v>
      </c>
      <c r="O41" s="270">
        <f>SUM(C41:N41)</f>
        <v>0</v>
      </c>
      <c r="P41" s="349">
        <v>0</v>
      </c>
      <c r="Q41" s="350"/>
    </row>
    <row r="42" spans="2:17" ht="16.5" thickBot="1">
      <c r="B42" s="10" t="s">
        <v>111</v>
      </c>
      <c r="C42" s="270">
        <v>0</v>
      </c>
      <c r="D42" s="270">
        <v>0</v>
      </c>
      <c r="E42" s="270">
        <v>0</v>
      </c>
      <c r="F42" s="270">
        <v>0</v>
      </c>
      <c r="G42" s="270">
        <v>0</v>
      </c>
      <c r="H42" s="270">
        <v>0</v>
      </c>
      <c r="I42" s="270">
        <v>0</v>
      </c>
      <c r="J42" s="270">
        <v>0</v>
      </c>
      <c r="K42" s="270">
        <v>0</v>
      </c>
      <c r="L42" s="270">
        <v>0</v>
      </c>
      <c r="M42" s="270">
        <v>0</v>
      </c>
      <c r="N42" s="270">
        <v>0</v>
      </c>
      <c r="O42" s="270">
        <f>SUM(C42:N42)</f>
        <v>0</v>
      </c>
      <c r="P42" s="349">
        <v>0</v>
      </c>
      <c r="Q42" s="350"/>
    </row>
    <row r="43" spans="2:17" ht="16.5" thickBot="1"/>
    <row r="44" spans="2:17" ht="16.5" thickBot="1">
      <c r="B44" s="351" t="s">
        <v>242</v>
      </c>
      <c r="C44" s="352"/>
      <c r="D44" s="350"/>
      <c r="E44" s="353" t="s">
        <v>113</v>
      </c>
      <c r="F44" s="352"/>
      <c r="G44" s="352"/>
      <c r="H44" s="352"/>
      <c r="I44" s="352"/>
      <c r="J44" s="352"/>
      <c r="K44" s="352"/>
      <c r="L44" s="352"/>
      <c r="M44" s="352"/>
      <c r="N44" s="352"/>
      <c r="O44" s="350"/>
    </row>
    <row r="45" spans="2:17" ht="16.5" thickBot="1">
      <c r="B45" s="334" t="s">
        <v>114</v>
      </c>
      <c r="C45" s="352"/>
      <c r="D45" s="352"/>
      <c r="E45" s="354" t="s">
        <v>115</v>
      </c>
      <c r="F45" s="352"/>
      <c r="G45" s="350"/>
      <c r="H45" s="354" t="s">
        <v>243</v>
      </c>
      <c r="I45" s="352"/>
      <c r="J45" s="350"/>
      <c r="K45" s="354" t="s">
        <v>117</v>
      </c>
      <c r="L45" s="352"/>
      <c r="M45" s="350"/>
      <c r="N45" s="354" t="s">
        <v>118</v>
      </c>
      <c r="O45" s="350"/>
    </row>
    <row r="46" spans="2:17" ht="16.5" thickBot="1">
      <c r="B46" s="373" t="s">
        <v>244</v>
      </c>
      <c r="C46" s="365"/>
      <c r="D46" s="367"/>
      <c r="E46" s="372" t="s">
        <v>245</v>
      </c>
      <c r="F46" s="352"/>
      <c r="G46" s="350"/>
      <c r="H46" s="372" t="s">
        <v>246</v>
      </c>
      <c r="I46" s="352"/>
      <c r="J46" s="350"/>
      <c r="K46" s="372" t="s">
        <v>247</v>
      </c>
      <c r="L46" s="352"/>
      <c r="M46" s="350"/>
      <c r="N46" s="360" t="s">
        <v>122</v>
      </c>
      <c r="O46" s="350"/>
      <c r="Q46" s="248"/>
    </row>
    <row r="47" spans="2:17" ht="16.5" thickBot="1">
      <c r="B47" s="368"/>
      <c r="C47" s="365"/>
      <c r="D47" s="367"/>
      <c r="E47" s="372" t="s">
        <v>248</v>
      </c>
      <c r="F47" s="352"/>
      <c r="G47" s="350"/>
      <c r="H47" s="372" t="s">
        <v>246</v>
      </c>
      <c r="I47" s="352"/>
      <c r="J47" s="350"/>
      <c r="K47" s="372" t="s">
        <v>247</v>
      </c>
      <c r="L47" s="352"/>
      <c r="M47" s="350"/>
      <c r="N47" s="360" t="s">
        <v>122</v>
      </c>
      <c r="O47" s="350"/>
      <c r="Q47" s="248"/>
    </row>
    <row r="48" spans="2:17" ht="16.5" thickBot="1">
      <c r="B48" s="368"/>
      <c r="C48" s="365"/>
      <c r="D48" s="367"/>
      <c r="E48" s="372" t="s">
        <v>249</v>
      </c>
      <c r="F48" s="352"/>
      <c r="G48" s="350"/>
      <c r="H48" s="372" t="s">
        <v>250</v>
      </c>
      <c r="I48" s="352"/>
      <c r="J48" s="350"/>
      <c r="K48" s="372" t="s">
        <v>247</v>
      </c>
      <c r="L48" s="352"/>
      <c r="M48" s="350"/>
      <c r="N48" s="360" t="s">
        <v>122</v>
      </c>
      <c r="O48" s="350"/>
      <c r="Q48" s="248"/>
    </row>
    <row r="49" spans="2:17" ht="16.5" thickBot="1">
      <c r="B49" s="368"/>
      <c r="C49" s="365"/>
      <c r="D49" s="367"/>
      <c r="E49" s="255"/>
      <c r="F49" s="256" t="s">
        <v>251</v>
      </c>
      <c r="G49" s="257"/>
      <c r="H49" s="372" t="s">
        <v>252</v>
      </c>
      <c r="I49" s="352"/>
      <c r="J49" s="350"/>
      <c r="K49" s="255"/>
      <c r="L49" s="256">
        <v>2.54</v>
      </c>
      <c r="M49" s="257"/>
      <c r="N49" s="360" t="s">
        <v>122</v>
      </c>
      <c r="O49" s="350"/>
      <c r="Q49" s="248"/>
    </row>
    <row r="50" spans="2:17" ht="16.5" thickBot="1">
      <c r="B50" s="368"/>
      <c r="C50" s="365"/>
      <c r="D50" s="367"/>
      <c r="E50" s="255"/>
      <c r="F50" s="256" t="s">
        <v>253</v>
      </c>
      <c r="G50" s="257"/>
      <c r="H50" s="372" t="s">
        <v>254</v>
      </c>
      <c r="I50" s="352"/>
      <c r="J50" s="350"/>
      <c r="K50" s="255"/>
      <c r="L50" s="256">
        <v>11.42</v>
      </c>
      <c r="M50" s="257"/>
      <c r="N50" s="360" t="s">
        <v>122</v>
      </c>
      <c r="O50" s="350"/>
      <c r="Q50" s="248"/>
    </row>
    <row r="51" spans="2:17" ht="16.5" thickBot="1">
      <c r="B51" s="368"/>
      <c r="C51" s="365"/>
      <c r="D51" s="367"/>
      <c r="E51" s="255"/>
      <c r="F51" s="256" t="s">
        <v>255</v>
      </c>
      <c r="G51" s="257"/>
      <c r="H51" s="372" t="s">
        <v>256</v>
      </c>
      <c r="I51" s="352"/>
      <c r="J51" s="350"/>
      <c r="K51" s="255"/>
      <c r="L51" s="256" t="s">
        <v>247</v>
      </c>
      <c r="M51" s="257"/>
      <c r="N51" s="360" t="s">
        <v>122</v>
      </c>
      <c r="O51" s="350"/>
      <c r="Q51" s="248"/>
    </row>
    <row r="52" spans="2:17" ht="16.5" thickBot="1">
      <c r="B52" s="376" t="s">
        <v>257</v>
      </c>
      <c r="C52" s="364"/>
      <c r="D52" s="358"/>
      <c r="E52" s="372" t="s">
        <v>258</v>
      </c>
      <c r="F52" s="352"/>
      <c r="G52" s="350"/>
      <c r="H52" s="374" t="s">
        <v>129</v>
      </c>
      <c r="I52" s="352"/>
      <c r="J52" s="350"/>
      <c r="K52" s="372" t="s">
        <v>129</v>
      </c>
      <c r="L52" s="352"/>
      <c r="M52" s="350"/>
      <c r="N52" s="360" t="s">
        <v>122</v>
      </c>
      <c r="O52" s="350"/>
      <c r="Q52" s="248"/>
    </row>
    <row r="53" spans="2:17" ht="16.5" thickBot="1">
      <c r="B53" s="368"/>
      <c r="C53" s="365"/>
      <c r="D53" s="367"/>
      <c r="E53" s="372" t="s">
        <v>130</v>
      </c>
      <c r="F53" s="352"/>
      <c r="G53" s="350"/>
      <c r="H53" s="374" t="s">
        <v>129</v>
      </c>
      <c r="I53" s="352"/>
      <c r="J53" s="350"/>
      <c r="K53" s="372" t="s">
        <v>129</v>
      </c>
      <c r="L53" s="352"/>
      <c r="M53" s="350"/>
      <c r="N53" s="360" t="s">
        <v>122</v>
      </c>
      <c r="O53" s="350"/>
      <c r="Q53" s="248"/>
    </row>
    <row r="54" spans="2:17" ht="16.5" thickBot="1">
      <c r="B54" s="369"/>
      <c r="C54" s="370"/>
      <c r="D54" s="371"/>
      <c r="E54" s="372" t="s">
        <v>259</v>
      </c>
      <c r="F54" s="352"/>
      <c r="G54" s="350"/>
      <c r="H54" s="374" t="s">
        <v>129</v>
      </c>
      <c r="I54" s="352"/>
      <c r="J54" s="350"/>
      <c r="K54" s="372" t="s">
        <v>129</v>
      </c>
      <c r="L54" s="352"/>
      <c r="M54" s="350"/>
      <c r="N54" s="360" t="s">
        <v>122</v>
      </c>
      <c r="O54" s="350"/>
      <c r="Q54" s="248"/>
    </row>
    <row r="55" spans="2:17">
      <c r="B55" s="375" t="s">
        <v>260</v>
      </c>
      <c r="C55" s="364"/>
      <c r="D55" s="364"/>
      <c r="E55" s="364"/>
      <c r="F55" s="364"/>
      <c r="G55" s="364"/>
      <c r="H55" s="364"/>
      <c r="I55" s="364"/>
      <c r="J55" s="364"/>
      <c r="K55" s="364"/>
      <c r="L55" s="364"/>
      <c r="M55" s="364"/>
      <c r="N55" s="364"/>
      <c r="O55" s="364"/>
    </row>
    <row r="56" spans="2:17">
      <c r="B56" s="365"/>
      <c r="C56" s="365"/>
      <c r="D56" s="365"/>
      <c r="E56" s="365"/>
      <c r="F56" s="365"/>
      <c r="G56" s="365"/>
      <c r="H56" s="365"/>
      <c r="I56" s="365"/>
      <c r="J56" s="365"/>
      <c r="K56" s="365"/>
      <c r="L56" s="365"/>
      <c r="M56" s="365"/>
      <c r="N56" s="365"/>
      <c r="O56" s="365"/>
    </row>
    <row r="57" spans="2:17">
      <c r="L57" s="53" t="s">
        <v>261</v>
      </c>
    </row>
    <row r="59" spans="2:17" ht="16.5" thickBot="1"/>
    <row r="60" spans="2:17" ht="16.5" thickBot="1">
      <c r="B60" s="378" t="s">
        <v>262</v>
      </c>
      <c r="C60" s="364"/>
      <c r="D60" s="358"/>
      <c r="E60" s="354" t="s">
        <v>115</v>
      </c>
      <c r="F60" s="352"/>
      <c r="G60" s="350"/>
      <c r="H60" s="354" t="s">
        <v>263</v>
      </c>
      <c r="I60" s="352"/>
      <c r="J60" s="350"/>
      <c r="K60" s="354" t="s">
        <v>117</v>
      </c>
      <c r="L60" s="352"/>
      <c r="M60" s="350"/>
      <c r="N60" s="354" t="s">
        <v>118</v>
      </c>
      <c r="O60" s="350"/>
    </row>
    <row r="61" spans="2:17" ht="16.5" thickBot="1">
      <c r="B61" s="368"/>
      <c r="C61" s="365"/>
      <c r="D61" s="367"/>
      <c r="E61" s="372" t="s">
        <v>264</v>
      </c>
      <c r="F61" s="352"/>
      <c r="G61" s="350"/>
      <c r="H61" s="372" t="s">
        <v>218</v>
      </c>
      <c r="I61" s="352"/>
      <c r="J61" s="350"/>
      <c r="K61" s="372">
        <v>8.1999999999999993</v>
      </c>
      <c r="L61" s="352"/>
      <c r="M61" s="350"/>
      <c r="N61" s="377"/>
      <c r="O61" s="350"/>
      <c r="Q61" s="248"/>
    </row>
    <row r="62" spans="2:17" ht="16.5" thickBot="1">
      <c r="B62" s="368"/>
      <c r="C62" s="365"/>
      <c r="D62" s="367"/>
      <c r="E62" s="372" t="s">
        <v>265</v>
      </c>
      <c r="F62" s="352"/>
      <c r="G62" s="350"/>
      <c r="H62" s="372">
        <v>500</v>
      </c>
      <c r="I62" s="352"/>
      <c r="J62" s="350"/>
      <c r="K62" s="372">
        <v>417.48</v>
      </c>
      <c r="L62" s="352"/>
      <c r="M62" s="350"/>
      <c r="N62" s="377"/>
      <c r="O62" s="350"/>
      <c r="Q62" s="248"/>
    </row>
    <row r="63" spans="2:17" ht="16.5" thickBot="1">
      <c r="B63" s="368"/>
      <c r="C63" s="365"/>
      <c r="D63" s="367"/>
      <c r="E63" s="372" t="s">
        <v>223</v>
      </c>
      <c r="F63" s="352"/>
      <c r="G63" s="350"/>
      <c r="H63" s="372">
        <v>30</v>
      </c>
      <c r="I63" s="352"/>
      <c r="J63" s="350"/>
      <c r="K63" s="372">
        <v>1.36</v>
      </c>
      <c r="L63" s="352"/>
      <c r="M63" s="350"/>
      <c r="N63" s="377"/>
      <c r="O63" s="350"/>
      <c r="Q63" s="248"/>
    </row>
    <row r="64" spans="2:17" ht="16.5" thickBot="1">
      <c r="B64" s="368"/>
      <c r="C64" s="365"/>
      <c r="D64" s="367"/>
      <c r="E64" s="255"/>
      <c r="F64" s="256" t="s">
        <v>225</v>
      </c>
      <c r="G64" s="257"/>
      <c r="H64" s="372">
        <v>25</v>
      </c>
      <c r="I64" s="352"/>
      <c r="J64" s="350"/>
      <c r="K64" s="255"/>
      <c r="L64" s="256">
        <v>0.71</v>
      </c>
      <c r="M64" s="257"/>
      <c r="N64" s="377"/>
      <c r="O64" s="350"/>
      <c r="Q64" s="248"/>
    </row>
    <row r="65" spans="2:17" ht="16.5" thickBot="1">
      <c r="B65" s="368"/>
      <c r="C65" s="365"/>
      <c r="D65" s="367"/>
      <c r="E65" s="255"/>
      <c r="F65" s="256" t="s">
        <v>266</v>
      </c>
      <c r="G65" s="257"/>
      <c r="H65" s="372">
        <v>350</v>
      </c>
      <c r="I65" s="352"/>
      <c r="J65" s="350"/>
      <c r="K65" s="255"/>
      <c r="L65" s="256">
        <v>186</v>
      </c>
      <c r="M65" s="257"/>
      <c r="N65" s="377"/>
      <c r="O65" s="350"/>
      <c r="Q65" s="248"/>
    </row>
    <row r="66" spans="2:17" ht="16.5" thickBot="1">
      <c r="B66" s="368"/>
      <c r="C66" s="365"/>
      <c r="D66" s="367"/>
      <c r="E66" s="255"/>
      <c r="F66" s="256" t="s">
        <v>267</v>
      </c>
      <c r="G66" s="257"/>
      <c r="H66" s="372">
        <v>300</v>
      </c>
      <c r="I66" s="352"/>
      <c r="J66" s="350"/>
      <c r="K66" s="255"/>
      <c r="L66" s="256">
        <v>237</v>
      </c>
      <c r="M66" s="257"/>
      <c r="N66" s="377"/>
      <c r="O66" s="350"/>
      <c r="Q66" s="248"/>
    </row>
    <row r="67" spans="2:17" ht="16.5" thickBot="1">
      <c r="B67" s="369"/>
      <c r="C67" s="370"/>
      <c r="D67" s="371"/>
      <c r="E67" s="372" t="s">
        <v>231</v>
      </c>
      <c r="F67" s="352"/>
      <c r="G67" s="350"/>
      <c r="H67" s="379">
        <v>30</v>
      </c>
      <c r="I67" s="352"/>
      <c r="J67" s="350"/>
      <c r="K67" s="372">
        <v>24</v>
      </c>
      <c r="L67" s="352"/>
      <c r="M67" s="350"/>
      <c r="N67" s="377"/>
      <c r="O67" s="350"/>
      <c r="Q67" s="248"/>
    </row>
    <row r="68" spans="2:17">
      <c r="B68" s="375" t="s">
        <v>268</v>
      </c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</row>
    <row r="69" spans="2:17">
      <c r="B69" s="365"/>
      <c r="C69" s="365"/>
      <c r="D69" s="365"/>
      <c r="E69" s="365"/>
      <c r="F69" s="365"/>
      <c r="G69" s="365"/>
      <c r="H69" s="365"/>
      <c r="I69" s="365"/>
      <c r="J69" s="365"/>
      <c r="K69" s="365"/>
      <c r="L69" s="365"/>
      <c r="M69" s="365"/>
      <c r="N69" s="365"/>
      <c r="O69" s="365"/>
    </row>
  </sheetData>
  <mergeCells count="148">
    <mergeCell ref="B68:O69"/>
    <mergeCell ref="H64:J64"/>
    <mergeCell ref="N64:O64"/>
    <mergeCell ref="H65:J65"/>
    <mergeCell ref="N65:O65"/>
    <mergeCell ref="H66:J66"/>
    <mergeCell ref="N66:O66"/>
    <mergeCell ref="H62:J62"/>
    <mergeCell ref="K62:M62"/>
    <mergeCell ref="N62:O62"/>
    <mergeCell ref="E63:G63"/>
    <mergeCell ref="H63:J63"/>
    <mergeCell ref="K63:M63"/>
    <mergeCell ref="N63:O63"/>
    <mergeCell ref="B60:D67"/>
    <mergeCell ref="E60:G60"/>
    <mergeCell ref="H60:J60"/>
    <mergeCell ref="K60:M60"/>
    <mergeCell ref="N60:O60"/>
    <mergeCell ref="E61:G61"/>
    <mergeCell ref="H61:J61"/>
    <mergeCell ref="K61:M61"/>
    <mergeCell ref="N61:O61"/>
    <mergeCell ref="E62:G62"/>
    <mergeCell ref="E67:G67"/>
    <mergeCell ref="H67:J67"/>
    <mergeCell ref="K67:M67"/>
    <mergeCell ref="N67:O67"/>
    <mergeCell ref="N53:O53"/>
    <mergeCell ref="E54:G54"/>
    <mergeCell ref="H54:J54"/>
    <mergeCell ref="K54:M54"/>
    <mergeCell ref="N54:O54"/>
    <mergeCell ref="B55:O56"/>
    <mergeCell ref="H51:J51"/>
    <mergeCell ref="N51:O51"/>
    <mergeCell ref="B52:D54"/>
    <mergeCell ref="E52:G52"/>
    <mergeCell ref="H52:J52"/>
    <mergeCell ref="K52:M52"/>
    <mergeCell ref="N52:O52"/>
    <mergeCell ref="E53:G53"/>
    <mergeCell ref="H53:J53"/>
    <mergeCell ref="K53:M53"/>
    <mergeCell ref="H48:J48"/>
    <mergeCell ref="K48:M48"/>
    <mergeCell ref="N48:O48"/>
    <mergeCell ref="H49:J49"/>
    <mergeCell ref="N49:O49"/>
    <mergeCell ref="H50:J50"/>
    <mergeCell ref="N50:O50"/>
    <mergeCell ref="B46:D51"/>
    <mergeCell ref="E46:G46"/>
    <mergeCell ref="H46:J46"/>
    <mergeCell ref="K46:M46"/>
    <mergeCell ref="N46:O46"/>
    <mergeCell ref="E47:G47"/>
    <mergeCell ref="H47:J47"/>
    <mergeCell ref="K47:M47"/>
    <mergeCell ref="N47:O47"/>
    <mergeCell ref="E48:G48"/>
    <mergeCell ref="P41:Q41"/>
    <mergeCell ref="P42:Q42"/>
    <mergeCell ref="B44:D44"/>
    <mergeCell ref="E44:O44"/>
    <mergeCell ref="B45:D45"/>
    <mergeCell ref="E45:G45"/>
    <mergeCell ref="H45:J45"/>
    <mergeCell ref="K45:M45"/>
    <mergeCell ref="N45:O45"/>
    <mergeCell ref="E33:G33"/>
    <mergeCell ref="H33:J33"/>
    <mergeCell ref="K33:M33"/>
    <mergeCell ref="N33:O33"/>
    <mergeCell ref="B34:O35"/>
    <mergeCell ref="P40:Q40"/>
    <mergeCell ref="E31:G31"/>
    <mergeCell ref="H31:J31"/>
    <mergeCell ref="K31:M31"/>
    <mergeCell ref="N31:O31"/>
    <mergeCell ref="E32:G32"/>
    <mergeCell ref="H32:J32"/>
    <mergeCell ref="K32:M32"/>
    <mergeCell ref="N32:O32"/>
    <mergeCell ref="B28:D33"/>
    <mergeCell ref="H29:J29"/>
    <mergeCell ref="K29:M29"/>
    <mergeCell ref="N29:O29"/>
    <mergeCell ref="E30:G30"/>
    <mergeCell ref="H30:J30"/>
    <mergeCell ref="K30:M30"/>
    <mergeCell ref="N30:O30"/>
    <mergeCell ref="E27:G27"/>
    <mergeCell ref="H27:J27"/>
    <mergeCell ref="K27:M27"/>
    <mergeCell ref="N27:O27"/>
    <mergeCell ref="E28:G28"/>
    <mergeCell ref="H28:J28"/>
    <mergeCell ref="K28:M28"/>
    <mergeCell ref="N28:O28"/>
    <mergeCell ref="E29:G29"/>
    <mergeCell ref="P23:Q23"/>
    <mergeCell ref="B25:D25"/>
    <mergeCell ref="E25:O25"/>
    <mergeCell ref="B26:D26"/>
    <mergeCell ref="E26:G26"/>
    <mergeCell ref="H26:J26"/>
    <mergeCell ref="K26:M26"/>
    <mergeCell ref="N26:O26"/>
    <mergeCell ref="H15:J15"/>
    <mergeCell ref="K15:M15"/>
    <mergeCell ref="N15:O15"/>
    <mergeCell ref="B16:O17"/>
    <mergeCell ref="P21:Q21"/>
    <mergeCell ref="P22:Q22"/>
    <mergeCell ref="B13:D15"/>
    <mergeCell ref="E13:G13"/>
    <mergeCell ref="H13:J13"/>
    <mergeCell ref="K13:M13"/>
    <mergeCell ref="N13:O13"/>
    <mergeCell ref="E14:G14"/>
    <mergeCell ref="H14:J14"/>
    <mergeCell ref="K14:M14"/>
    <mergeCell ref="N14:O14"/>
    <mergeCell ref="E15:G15"/>
    <mergeCell ref="E12:G12"/>
    <mergeCell ref="H12:J12"/>
    <mergeCell ref="K12:M12"/>
    <mergeCell ref="N12:O12"/>
    <mergeCell ref="B9:D9"/>
    <mergeCell ref="E9:G9"/>
    <mergeCell ref="H9:J9"/>
    <mergeCell ref="K9:M9"/>
    <mergeCell ref="N9:O9"/>
    <mergeCell ref="B10:D12"/>
    <mergeCell ref="E10:G10"/>
    <mergeCell ref="H10:J10"/>
    <mergeCell ref="K10:M10"/>
    <mergeCell ref="N10:O10"/>
    <mergeCell ref="P4:Q4"/>
    <mergeCell ref="P5:Q5"/>
    <mergeCell ref="P6:Q6"/>
    <mergeCell ref="B8:D8"/>
    <mergeCell ref="E8:O8"/>
    <mergeCell ref="E11:G11"/>
    <mergeCell ref="H11:J11"/>
    <mergeCell ref="K11:M11"/>
    <mergeCell ref="N11:O11"/>
  </mergeCells>
  <pageMargins left="0.7" right="0.7" top="0.75" bottom="0.75" header="0.3" footer="0.3"/>
  <pageSetup paperSize="9" scale="5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F637-0794-4BE1-AF91-82CF84EFC024}">
  <sheetPr>
    <tabColor rgb="FF00B050"/>
    <pageSetUpPr fitToPage="1"/>
  </sheetPr>
  <dimension ref="B2:CR38"/>
  <sheetViews>
    <sheetView showGridLines="0" zoomScale="80" zoomScaleNormal="80" workbookViewId="0">
      <selection activeCell="U16" sqref="U16:W16"/>
    </sheetView>
  </sheetViews>
  <sheetFormatPr defaultColWidth="8.5703125" defaultRowHeight="15.75"/>
  <cols>
    <col min="1" max="82" width="8.5703125" style="53"/>
    <col min="83" max="83" width="4.28515625" style="53" bestFit="1" customWidth="1"/>
    <col min="84" max="16384" width="8.5703125" style="53"/>
  </cols>
  <sheetData>
    <row r="2" spans="2:96" ht="27.6" customHeight="1">
      <c r="B2" s="380">
        <v>2022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380"/>
      <c r="X2" s="380"/>
      <c r="Y2" s="380"/>
      <c r="Z2" s="380"/>
      <c r="AA2" s="380"/>
      <c r="AB2" s="380"/>
      <c r="AC2" s="380"/>
      <c r="AD2" s="380"/>
      <c r="AE2" s="380"/>
      <c r="AF2" s="380"/>
      <c r="AH2" s="380">
        <v>2023</v>
      </c>
      <c r="AI2" s="380"/>
      <c r="AJ2" s="380"/>
      <c r="AK2" s="380"/>
      <c r="AL2" s="380"/>
      <c r="AM2" s="380"/>
      <c r="AN2" s="380"/>
      <c r="AO2" s="380"/>
      <c r="AP2" s="380"/>
      <c r="AQ2" s="380"/>
      <c r="AR2" s="380"/>
      <c r="AS2" s="380"/>
      <c r="AT2" s="380"/>
      <c r="AU2" s="380"/>
      <c r="AV2" s="380"/>
      <c r="AW2" s="380"/>
      <c r="AX2" s="380"/>
      <c r="AY2" s="380"/>
      <c r="AZ2" s="380"/>
      <c r="BA2" s="380"/>
      <c r="BB2" s="380"/>
      <c r="BC2" s="380"/>
      <c r="BD2" s="380"/>
      <c r="BE2" s="380"/>
      <c r="BF2" s="380"/>
      <c r="BG2" s="380"/>
      <c r="BH2" s="380"/>
      <c r="BI2" s="380"/>
      <c r="BJ2" s="380"/>
      <c r="BK2" s="380"/>
      <c r="BL2" s="380"/>
      <c r="BN2" s="380">
        <v>2024</v>
      </c>
      <c r="BO2" s="380"/>
      <c r="BP2" s="380"/>
      <c r="BQ2" s="380"/>
      <c r="BR2" s="380"/>
      <c r="BS2" s="380"/>
      <c r="BT2" s="380"/>
      <c r="BU2" s="380"/>
      <c r="BV2" s="380"/>
      <c r="BW2" s="380"/>
      <c r="BX2" s="380"/>
      <c r="BY2" s="380"/>
      <c r="BZ2" s="380"/>
      <c r="CA2" s="380"/>
      <c r="CB2" s="380"/>
      <c r="CC2" s="380"/>
      <c r="CD2" s="380"/>
      <c r="CE2" s="380"/>
      <c r="CF2" s="380"/>
      <c r="CG2" s="380"/>
      <c r="CH2" s="380"/>
      <c r="CI2" s="380"/>
      <c r="CJ2" s="380"/>
      <c r="CK2" s="380"/>
      <c r="CL2" s="380"/>
      <c r="CM2" s="380"/>
      <c r="CN2" s="380"/>
      <c r="CO2" s="380"/>
      <c r="CP2" s="380"/>
      <c r="CQ2" s="380"/>
      <c r="CR2" s="380"/>
    </row>
    <row r="3" spans="2:96" ht="27.6" customHeight="1" thickBot="1">
      <c r="M3" s="83"/>
      <c r="N3" s="83"/>
      <c r="O3" s="83"/>
      <c r="P3" s="83"/>
      <c r="Q3" s="83"/>
      <c r="R3" s="83"/>
      <c r="S3" s="83"/>
      <c r="T3" s="83"/>
    </row>
    <row r="4" spans="2:96" ht="19.5" customHeight="1" thickBot="1">
      <c r="B4" s="378" t="s">
        <v>133</v>
      </c>
      <c r="C4" s="352"/>
      <c r="D4" s="350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AH4" s="378" t="s">
        <v>133</v>
      </c>
      <c r="AI4" s="352"/>
      <c r="AJ4" s="350"/>
      <c r="AK4" s="258"/>
      <c r="AL4" s="258"/>
      <c r="AM4" s="258"/>
      <c r="AN4" s="258"/>
      <c r="AO4" s="258"/>
      <c r="AP4" s="258"/>
      <c r="AQ4" s="258"/>
      <c r="AR4" s="258"/>
      <c r="AS4" s="258"/>
      <c r="AT4" s="258"/>
      <c r="AU4" s="258"/>
      <c r="AV4" s="258"/>
      <c r="BN4" s="428" t="s">
        <v>269</v>
      </c>
      <c r="BO4" s="429"/>
      <c r="BP4" s="430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</row>
    <row r="5" spans="2:96" ht="15.75" customHeight="1" thickBot="1">
      <c r="B5" s="340" t="s">
        <v>96</v>
      </c>
      <c r="C5" s="364"/>
      <c r="D5" s="364"/>
      <c r="E5" s="354" t="s">
        <v>1</v>
      </c>
      <c r="F5" s="350"/>
      <c r="G5" s="354" t="s">
        <v>27</v>
      </c>
      <c r="H5" s="350"/>
      <c r="I5" s="354" t="s">
        <v>28</v>
      </c>
      <c r="J5" s="350"/>
      <c r="K5" s="354" t="s">
        <v>29</v>
      </c>
      <c r="L5" s="350"/>
      <c r="M5" s="354" t="s">
        <v>30</v>
      </c>
      <c r="N5" s="350"/>
      <c r="O5" s="354" t="s">
        <v>31</v>
      </c>
      <c r="P5" s="350"/>
      <c r="Q5" s="354" t="s">
        <v>32</v>
      </c>
      <c r="R5" s="350"/>
      <c r="S5" s="354" t="s">
        <v>33</v>
      </c>
      <c r="T5" s="350"/>
      <c r="U5" s="354" t="s">
        <v>34</v>
      </c>
      <c r="V5" s="350"/>
      <c r="W5" s="354" t="s">
        <v>35</v>
      </c>
      <c r="X5" s="350"/>
      <c r="Y5" s="354" t="s">
        <v>36</v>
      </c>
      <c r="Z5" s="350"/>
      <c r="AA5" s="354" t="s">
        <v>37</v>
      </c>
      <c r="AB5" s="350"/>
      <c r="AC5" s="392" t="s">
        <v>109</v>
      </c>
      <c r="AD5" s="358"/>
      <c r="AE5" s="357" t="s">
        <v>14</v>
      </c>
      <c r="AF5" s="358"/>
      <c r="AG5" s="259"/>
      <c r="AH5" s="340" t="s">
        <v>96</v>
      </c>
      <c r="AI5" s="364"/>
      <c r="AJ5" s="364"/>
      <c r="AK5" s="354" t="s">
        <v>1</v>
      </c>
      <c r="AL5" s="350"/>
      <c r="AM5" s="354" t="s">
        <v>27</v>
      </c>
      <c r="AN5" s="350"/>
      <c r="AO5" s="354" t="s">
        <v>28</v>
      </c>
      <c r="AP5" s="350"/>
      <c r="AQ5" s="354" t="s">
        <v>29</v>
      </c>
      <c r="AR5" s="350"/>
      <c r="AS5" s="354" t="s">
        <v>30</v>
      </c>
      <c r="AT5" s="350"/>
      <c r="AU5" s="354" t="s">
        <v>31</v>
      </c>
      <c r="AV5" s="350"/>
      <c r="AW5" s="354" t="s">
        <v>32</v>
      </c>
      <c r="AX5" s="350"/>
      <c r="AY5" s="354" t="s">
        <v>33</v>
      </c>
      <c r="AZ5" s="350"/>
      <c r="BA5" s="354" t="s">
        <v>34</v>
      </c>
      <c r="BB5" s="350"/>
      <c r="BC5" s="354" t="s">
        <v>35</v>
      </c>
      <c r="BD5" s="350"/>
      <c r="BE5" s="354" t="s">
        <v>36</v>
      </c>
      <c r="BF5" s="350"/>
      <c r="BG5" s="354" t="s">
        <v>37</v>
      </c>
      <c r="BH5" s="350"/>
      <c r="BI5" s="392" t="s">
        <v>109</v>
      </c>
      <c r="BJ5" s="358"/>
      <c r="BK5" s="357" t="s">
        <v>14</v>
      </c>
      <c r="BL5" s="358"/>
      <c r="BN5" s="431" t="s">
        <v>96</v>
      </c>
      <c r="BO5" s="432"/>
      <c r="BP5" s="432"/>
      <c r="BQ5" s="433" t="s">
        <v>1</v>
      </c>
      <c r="BR5" s="430"/>
      <c r="BS5" s="433" t="s">
        <v>27</v>
      </c>
      <c r="BT5" s="430"/>
      <c r="BU5" s="433" t="s">
        <v>28</v>
      </c>
      <c r="BV5" s="430"/>
      <c r="BW5" s="433" t="s">
        <v>29</v>
      </c>
      <c r="BX5" s="430"/>
      <c r="BY5" s="433" t="s">
        <v>30</v>
      </c>
      <c r="BZ5" s="430"/>
      <c r="CA5" s="433" t="s">
        <v>31</v>
      </c>
      <c r="CB5" s="430"/>
      <c r="CC5" s="433" t="s">
        <v>32</v>
      </c>
      <c r="CD5" s="430"/>
      <c r="CE5" s="433" t="s">
        <v>33</v>
      </c>
      <c r="CF5" s="430"/>
      <c r="CG5" s="433" t="s">
        <v>34</v>
      </c>
      <c r="CH5" s="430"/>
      <c r="CI5" s="433" t="s">
        <v>35</v>
      </c>
      <c r="CJ5" s="430"/>
      <c r="CK5" s="433" t="s">
        <v>36</v>
      </c>
      <c r="CL5" s="430"/>
      <c r="CM5" s="433" t="s">
        <v>37</v>
      </c>
      <c r="CN5" s="430"/>
      <c r="CO5" s="435" t="s">
        <v>109</v>
      </c>
      <c r="CP5" s="436"/>
      <c r="CQ5" s="437" t="s">
        <v>237</v>
      </c>
      <c r="CR5" s="436"/>
    </row>
    <row r="6" spans="2:96" ht="14.45" customHeight="1" thickBot="1">
      <c r="B6" s="337" t="s">
        <v>134</v>
      </c>
      <c r="C6" s="364"/>
      <c r="D6" s="364"/>
      <c r="E6" s="381">
        <v>0</v>
      </c>
      <c r="F6" s="382"/>
      <c r="G6" s="385">
        <v>0</v>
      </c>
      <c r="H6" s="382"/>
      <c r="I6" s="381">
        <v>0</v>
      </c>
      <c r="J6" s="382"/>
      <c r="K6" s="385">
        <v>0</v>
      </c>
      <c r="L6" s="382"/>
      <c r="M6" s="381">
        <v>0</v>
      </c>
      <c r="N6" s="382"/>
      <c r="O6" s="385">
        <v>0</v>
      </c>
      <c r="P6" s="382"/>
      <c r="Q6" s="381">
        <v>0</v>
      </c>
      <c r="R6" s="382"/>
      <c r="S6" s="385">
        <v>0</v>
      </c>
      <c r="T6" s="382"/>
      <c r="U6" s="381">
        <v>0</v>
      </c>
      <c r="V6" s="382"/>
      <c r="W6" s="381">
        <v>0</v>
      </c>
      <c r="X6" s="382"/>
      <c r="Y6" s="381">
        <v>0</v>
      </c>
      <c r="Z6" s="382"/>
      <c r="AA6" s="385">
        <v>0</v>
      </c>
      <c r="AB6" s="382"/>
      <c r="AC6" s="388">
        <f>SUM(E6:AB7)</f>
        <v>0</v>
      </c>
      <c r="AD6" s="389"/>
      <c r="AE6" s="349">
        <v>0</v>
      </c>
      <c r="AF6" s="358"/>
      <c r="AH6" s="337" t="s">
        <v>134</v>
      </c>
      <c r="AI6" s="364"/>
      <c r="AJ6" s="364"/>
      <c r="AK6" s="423">
        <v>0</v>
      </c>
      <c r="AL6" s="382"/>
      <c r="AM6" s="424">
        <v>0</v>
      </c>
      <c r="AN6" s="382"/>
      <c r="AO6" s="423">
        <v>0</v>
      </c>
      <c r="AP6" s="382"/>
      <c r="AQ6" s="424">
        <v>0</v>
      </c>
      <c r="AR6" s="382"/>
      <c r="AS6" s="423">
        <v>0</v>
      </c>
      <c r="AT6" s="382"/>
      <c r="AU6" s="424">
        <v>0</v>
      </c>
      <c r="AV6" s="382"/>
      <c r="AW6" s="423">
        <v>0</v>
      </c>
      <c r="AX6" s="382"/>
      <c r="AY6" s="424">
        <v>0</v>
      </c>
      <c r="AZ6" s="382"/>
      <c r="BA6" s="423">
        <v>0</v>
      </c>
      <c r="BB6" s="382"/>
      <c r="BC6" s="423">
        <v>0</v>
      </c>
      <c r="BD6" s="382"/>
      <c r="BE6" s="423">
        <v>0</v>
      </c>
      <c r="BF6" s="382"/>
      <c r="BG6" s="424">
        <v>0</v>
      </c>
      <c r="BH6" s="382"/>
      <c r="BI6" s="388">
        <f>SUM(AK6:BH7)</f>
        <v>0</v>
      </c>
      <c r="BJ6" s="389"/>
      <c r="BK6" s="349">
        <v>0</v>
      </c>
      <c r="BL6" s="358"/>
      <c r="BN6" s="449" t="s">
        <v>134</v>
      </c>
      <c r="BO6" s="432"/>
      <c r="BP6" s="432"/>
      <c r="BQ6" s="451">
        <v>0</v>
      </c>
      <c r="BR6" s="439"/>
      <c r="BS6" s="438">
        <v>0</v>
      </c>
      <c r="BT6" s="439"/>
      <c r="BU6" s="451">
        <v>0</v>
      </c>
      <c r="BV6" s="439"/>
      <c r="BW6" s="438">
        <v>0</v>
      </c>
      <c r="BX6" s="439"/>
      <c r="BY6" s="451">
        <v>0</v>
      </c>
      <c r="BZ6" s="439"/>
      <c r="CA6" s="438">
        <v>0</v>
      </c>
      <c r="CB6" s="439"/>
      <c r="CC6" s="451">
        <v>0</v>
      </c>
      <c r="CD6" s="439"/>
      <c r="CE6" s="438">
        <v>0</v>
      </c>
      <c r="CF6" s="439"/>
      <c r="CG6" s="451">
        <v>0</v>
      </c>
      <c r="CH6" s="439"/>
      <c r="CI6" s="451">
        <v>0</v>
      </c>
      <c r="CJ6" s="439"/>
      <c r="CK6" s="451">
        <v>0</v>
      </c>
      <c r="CL6" s="439"/>
      <c r="CM6" s="438">
        <v>0</v>
      </c>
      <c r="CN6" s="439"/>
      <c r="CO6" s="442">
        <f>SUM(BQ6:CN7)</f>
        <v>0</v>
      </c>
      <c r="CP6" s="443"/>
      <c r="CQ6" s="446">
        <v>0</v>
      </c>
      <c r="CR6" s="436"/>
    </row>
    <row r="7" spans="2:96" ht="15" customHeight="1" thickBot="1">
      <c r="B7" s="369"/>
      <c r="C7" s="370"/>
      <c r="D7" s="370"/>
      <c r="E7" s="383"/>
      <c r="F7" s="384"/>
      <c r="G7" s="386"/>
      <c r="H7" s="387"/>
      <c r="I7" s="383"/>
      <c r="J7" s="384"/>
      <c r="K7" s="386"/>
      <c r="L7" s="387"/>
      <c r="M7" s="383"/>
      <c r="N7" s="384"/>
      <c r="O7" s="386"/>
      <c r="P7" s="387"/>
      <c r="Q7" s="383"/>
      <c r="R7" s="384"/>
      <c r="S7" s="386"/>
      <c r="T7" s="387"/>
      <c r="U7" s="383"/>
      <c r="V7" s="384"/>
      <c r="W7" s="383"/>
      <c r="X7" s="384"/>
      <c r="Y7" s="383"/>
      <c r="Z7" s="384"/>
      <c r="AA7" s="386"/>
      <c r="AB7" s="387"/>
      <c r="AC7" s="390"/>
      <c r="AD7" s="391"/>
      <c r="AE7" s="369"/>
      <c r="AF7" s="371"/>
      <c r="AH7" s="369"/>
      <c r="AI7" s="370"/>
      <c r="AJ7" s="370"/>
      <c r="AK7" s="383"/>
      <c r="AL7" s="384"/>
      <c r="AM7" s="386"/>
      <c r="AN7" s="387"/>
      <c r="AO7" s="383"/>
      <c r="AP7" s="384"/>
      <c r="AQ7" s="386"/>
      <c r="AR7" s="387"/>
      <c r="AS7" s="383"/>
      <c r="AT7" s="384"/>
      <c r="AU7" s="386"/>
      <c r="AV7" s="387"/>
      <c r="AW7" s="383"/>
      <c r="AX7" s="384"/>
      <c r="AY7" s="386"/>
      <c r="AZ7" s="387"/>
      <c r="BA7" s="383"/>
      <c r="BB7" s="384"/>
      <c r="BC7" s="383"/>
      <c r="BD7" s="384"/>
      <c r="BE7" s="383"/>
      <c r="BF7" s="384"/>
      <c r="BG7" s="386"/>
      <c r="BH7" s="387"/>
      <c r="BI7" s="390"/>
      <c r="BJ7" s="391"/>
      <c r="BK7" s="369"/>
      <c r="BL7" s="371"/>
      <c r="BN7" s="447"/>
      <c r="BO7" s="450"/>
      <c r="BP7" s="450"/>
      <c r="BQ7" s="452"/>
      <c r="BR7" s="453"/>
      <c r="BS7" s="440"/>
      <c r="BT7" s="441"/>
      <c r="BU7" s="452"/>
      <c r="BV7" s="453"/>
      <c r="BW7" s="440"/>
      <c r="BX7" s="441"/>
      <c r="BY7" s="452"/>
      <c r="BZ7" s="453"/>
      <c r="CA7" s="440"/>
      <c r="CB7" s="441"/>
      <c r="CC7" s="452"/>
      <c r="CD7" s="453"/>
      <c r="CE7" s="440"/>
      <c r="CF7" s="441"/>
      <c r="CG7" s="452"/>
      <c r="CH7" s="453"/>
      <c r="CI7" s="452"/>
      <c r="CJ7" s="453"/>
      <c r="CK7" s="452"/>
      <c r="CL7" s="453"/>
      <c r="CM7" s="440"/>
      <c r="CN7" s="441"/>
      <c r="CO7" s="444"/>
      <c r="CP7" s="445"/>
      <c r="CQ7" s="447"/>
      <c r="CR7" s="448"/>
    </row>
    <row r="8" spans="2:96" ht="14.45" customHeight="1" thickBot="1">
      <c r="B8" s="337" t="s">
        <v>135</v>
      </c>
      <c r="C8" s="364"/>
      <c r="D8" s="364"/>
      <c r="E8" s="381">
        <v>0</v>
      </c>
      <c r="F8" s="382"/>
      <c r="G8" s="393">
        <v>0</v>
      </c>
      <c r="H8" s="382"/>
      <c r="I8" s="381">
        <v>0</v>
      </c>
      <c r="J8" s="382"/>
      <c r="K8" s="393">
        <v>0</v>
      </c>
      <c r="L8" s="382"/>
      <c r="M8" s="381">
        <v>0</v>
      </c>
      <c r="N8" s="382"/>
      <c r="O8" s="393">
        <v>0</v>
      </c>
      <c r="P8" s="382"/>
      <c r="Q8" s="381">
        <v>0</v>
      </c>
      <c r="R8" s="382"/>
      <c r="S8" s="393">
        <v>0</v>
      </c>
      <c r="T8" s="382"/>
      <c r="U8" s="381">
        <v>0</v>
      </c>
      <c r="V8" s="382"/>
      <c r="W8" s="393">
        <v>0</v>
      </c>
      <c r="X8" s="382"/>
      <c r="Y8" s="381">
        <v>0</v>
      </c>
      <c r="Z8" s="382"/>
      <c r="AA8" s="393">
        <v>0</v>
      </c>
      <c r="AB8" s="382"/>
      <c r="AC8" s="388">
        <f>SUM(E8:AB9)</f>
        <v>0</v>
      </c>
      <c r="AD8" s="389"/>
      <c r="AE8" s="349">
        <v>0</v>
      </c>
      <c r="AF8" s="358"/>
      <c r="AH8" s="337" t="s">
        <v>135</v>
      </c>
      <c r="AI8" s="364"/>
      <c r="AJ8" s="364"/>
      <c r="AK8" s="423">
        <v>0</v>
      </c>
      <c r="AL8" s="382"/>
      <c r="AM8" s="425">
        <v>0</v>
      </c>
      <c r="AN8" s="382"/>
      <c r="AO8" s="423">
        <v>0</v>
      </c>
      <c r="AP8" s="382"/>
      <c r="AQ8" s="425">
        <v>0</v>
      </c>
      <c r="AR8" s="382"/>
      <c r="AS8" s="423">
        <v>0</v>
      </c>
      <c r="AT8" s="382"/>
      <c r="AU8" s="425">
        <v>0</v>
      </c>
      <c r="AV8" s="382"/>
      <c r="AW8" s="423">
        <v>0</v>
      </c>
      <c r="AX8" s="382"/>
      <c r="AY8" s="425">
        <v>0</v>
      </c>
      <c r="AZ8" s="382"/>
      <c r="BA8" s="423">
        <v>0</v>
      </c>
      <c r="BB8" s="382"/>
      <c r="BC8" s="425">
        <v>0</v>
      </c>
      <c r="BD8" s="382"/>
      <c r="BE8" s="423">
        <v>0</v>
      </c>
      <c r="BF8" s="382"/>
      <c r="BG8" s="425">
        <v>0</v>
      </c>
      <c r="BH8" s="382"/>
      <c r="BI8" s="388">
        <f>SUM(AK8:BH9)</f>
        <v>0</v>
      </c>
      <c r="BJ8" s="389"/>
      <c r="BK8" s="349">
        <v>0</v>
      </c>
      <c r="BL8" s="358"/>
      <c r="BN8" s="449" t="s">
        <v>135</v>
      </c>
      <c r="BO8" s="432"/>
      <c r="BP8" s="432"/>
      <c r="BQ8" s="451">
        <v>0</v>
      </c>
      <c r="BR8" s="439"/>
      <c r="BS8" s="454">
        <v>0</v>
      </c>
      <c r="BT8" s="439"/>
      <c r="BU8" s="451">
        <v>0</v>
      </c>
      <c r="BV8" s="439"/>
      <c r="BW8" s="454">
        <v>0</v>
      </c>
      <c r="BX8" s="439"/>
      <c r="BY8" s="451">
        <v>0</v>
      </c>
      <c r="BZ8" s="439"/>
      <c r="CA8" s="454">
        <v>0</v>
      </c>
      <c r="CB8" s="439"/>
      <c r="CC8" s="451">
        <v>0</v>
      </c>
      <c r="CD8" s="439"/>
      <c r="CE8" s="454">
        <v>0</v>
      </c>
      <c r="CF8" s="439"/>
      <c r="CG8" s="451">
        <v>0</v>
      </c>
      <c r="CH8" s="439"/>
      <c r="CI8" s="454">
        <v>0</v>
      </c>
      <c r="CJ8" s="439"/>
      <c r="CK8" s="451">
        <v>0</v>
      </c>
      <c r="CL8" s="439"/>
      <c r="CM8" s="454">
        <v>0</v>
      </c>
      <c r="CN8" s="439"/>
      <c r="CO8" s="442">
        <f>SUM(BQ8:CN9)</f>
        <v>0</v>
      </c>
      <c r="CP8" s="443"/>
      <c r="CQ8" s="446">
        <v>0</v>
      </c>
      <c r="CR8" s="436"/>
    </row>
    <row r="9" spans="2:96" ht="15" customHeight="1" thickBot="1">
      <c r="B9" s="369"/>
      <c r="C9" s="370"/>
      <c r="D9" s="370"/>
      <c r="E9" s="383"/>
      <c r="F9" s="384"/>
      <c r="G9" s="394"/>
      <c r="H9" s="384"/>
      <c r="I9" s="383"/>
      <c r="J9" s="384"/>
      <c r="K9" s="394"/>
      <c r="L9" s="384"/>
      <c r="M9" s="383"/>
      <c r="N9" s="384"/>
      <c r="O9" s="394"/>
      <c r="P9" s="384"/>
      <c r="Q9" s="383"/>
      <c r="R9" s="384"/>
      <c r="S9" s="394"/>
      <c r="T9" s="384"/>
      <c r="U9" s="383"/>
      <c r="V9" s="384"/>
      <c r="W9" s="394"/>
      <c r="X9" s="384"/>
      <c r="Y9" s="383"/>
      <c r="Z9" s="384"/>
      <c r="AA9" s="394"/>
      <c r="AB9" s="384"/>
      <c r="AC9" s="390"/>
      <c r="AD9" s="391"/>
      <c r="AE9" s="369"/>
      <c r="AF9" s="371"/>
      <c r="AH9" s="369"/>
      <c r="AI9" s="370"/>
      <c r="AJ9" s="370"/>
      <c r="AK9" s="383"/>
      <c r="AL9" s="384"/>
      <c r="AM9" s="394"/>
      <c r="AN9" s="384"/>
      <c r="AO9" s="383"/>
      <c r="AP9" s="384"/>
      <c r="AQ9" s="394"/>
      <c r="AR9" s="384"/>
      <c r="AS9" s="383"/>
      <c r="AT9" s="384"/>
      <c r="AU9" s="394"/>
      <c r="AV9" s="384"/>
      <c r="AW9" s="383"/>
      <c r="AX9" s="384"/>
      <c r="AY9" s="394"/>
      <c r="AZ9" s="384"/>
      <c r="BA9" s="383"/>
      <c r="BB9" s="384"/>
      <c r="BC9" s="394"/>
      <c r="BD9" s="384"/>
      <c r="BE9" s="383"/>
      <c r="BF9" s="384"/>
      <c r="BG9" s="394"/>
      <c r="BH9" s="384"/>
      <c r="BI9" s="390"/>
      <c r="BJ9" s="391"/>
      <c r="BK9" s="369"/>
      <c r="BL9" s="371"/>
      <c r="BN9" s="447"/>
      <c r="BO9" s="450"/>
      <c r="BP9" s="450"/>
      <c r="BQ9" s="452"/>
      <c r="BR9" s="453"/>
      <c r="BS9" s="455"/>
      <c r="BT9" s="453"/>
      <c r="BU9" s="452"/>
      <c r="BV9" s="453"/>
      <c r="BW9" s="455"/>
      <c r="BX9" s="453"/>
      <c r="BY9" s="452"/>
      <c r="BZ9" s="453"/>
      <c r="CA9" s="455"/>
      <c r="CB9" s="453"/>
      <c r="CC9" s="452"/>
      <c r="CD9" s="453"/>
      <c r="CE9" s="455"/>
      <c r="CF9" s="453"/>
      <c r="CG9" s="452"/>
      <c r="CH9" s="453"/>
      <c r="CI9" s="455"/>
      <c r="CJ9" s="453"/>
      <c r="CK9" s="452"/>
      <c r="CL9" s="453"/>
      <c r="CM9" s="455"/>
      <c r="CN9" s="453"/>
      <c r="CO9" s="444"/>
      <c r="CP9" s="445"/>
      <c r="CQ9" s="447"/>
      <c r="CR9" s="448"/>
    </row>
    <row r="10" spans="2:96" ht="15" customHeight="1" thickBot="1">
      <c r="B10" s="260"/>
      <c r="C10" s="260"/>
      <c r="D10" s="260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2"/>
      <c r="AD10" s="262"/>
      <c r="AE10" s="263"/>
      <c r="AF10" s="263"/>
      <c r="AH10" s="260"/>
      <c r="AI10" s="260"/>
      <c r="AJ10" s="260"/>
      <c r="AK10" s="261"/>
      <c r="AL10" s="261"/>
      <c r="AM10" s="261"/>
      <c r="AN10" s="261"/>
      <c r="AO10" s="261"/>
      <c r="AP10" s="261"/>
      <c r="AQ10" s="261"/>
      <c r="AR10" s="261"/>
      <c r="AS10" s="261"/>
      <c r="AT10" s="261"/>
      <c r="AU10" s="261"/>
      <c r="AV10" s="261"/>
      <c r="AW10" s="261"/>
      <c r="AX10" s="261"/>
      <c r="AY10" s="261"/>
      <c r="AZ10" s="261"/>
      <c r="BA10" s="261"/>
      <c r="BB10" s="261"/>
      <c r="BC10" s="261"/>
      <c r="BD10" s="261"/>
      <c r="BE10" s="261"/>
      <c r="BF10" s="261"/>
      <c r="BG10" s="261"/>
      <c r="BH10" s="261"/>
      <c r="BI10" s="262"/>
      <c r="BJ10" s="262"/>
      <c r="BK10" s="263"/>
      <c r="BL10" s="263"/>
      <c r="BN10" s="13"/>
      <c r="BO10" s="13"/>
      <c r="BP10" s="13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5"/>
      <c r="CP10" s="15"/>
      <c r="CQ10" s="16"/>
      <c r="CR10" s="16"/>
    </row>
    <row r="11" spans="2:96" ht="19.5" customHeight="1" thickBot="1">
      <c r="B11" s="378" t="s">
        <v>136</v>
      </c>
      <c r="C11" s="352"/>
      <c r="D11" s="350"/>
      <c r="E11" s="258"/>
      <c r="F11" s="258"/>
      <c r="G11" s="258"/>
      <c r="H11" s="258"/>
      <c r="I11" s="258"/>
      <c r="J11" s="258"/>
      <c r="K11" s="258"/>
      <c r="L11" s="258"/>
      <c r="M11" s="258"/>
      <c r="N11" s="258"/>
      <c r="O11" s="258"/>
      <c r="P11" s="258"/>
      <c r="AH11" s="378" t="s">
        <v>136</v>
      </c>
      <c r="AI11" s="352"/>
      <c r="AJ11" s="350"/>
      <c r="AK11" s="258"/>
      <c r="AL11" s="258"/>
      <c r="AM11" s="258"/>
      <c r="AN11" s="258"/>
      <c r="AO11" s="258"/>
      <c r="AP11" s="258"/>
      <c r="AQ11" s="258"/>
      <c r="AR11" s="258"/>
      <c r="AS11" s="258"/>
      <c r="AT11" s="258"/>
      <c r="AU11" s="258"/>
      <c r="AV11" s="258"/>
      <c r="BN11" s="428" t="s">
        <v>136</v>
      </c>
      <c r="BO11" s="429"/>
      <c r="BP11" s="430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</row>
    <row r="12" spans="2:96" ht="15.75" customHeight="1" thickBot="1">
      <c r="B12" s="340" t="s">
        <v>96</v>
      </c>
      <c r="C12" s="364"/>
      <c r="D12" s="364"/>
      <c r="E12" s="395">
        <v>2021</v>
      </c>
      <c r="F12" s="358"/>
      <c r="G12" s="395">
        <v>2022</v>
      </c>
      <c r="H12" s="358"/>
      <c r="I12" s="395">
        <v>2023</v>
      </c>
      <c r="J12" s="358"/>
      <c r="K12" s="395">
        <v>2024</v>
      </c>
      <c r="L12" s="358"/>
      <c r="M12" s="395">
        <v>2025</v>
      </c>
      <c r="N12" s="358"/>
      <c r="O12" s="392" t="s">
        <v>137</v>
      </c>
      <c r="P12" s="358"/>
      <c r="Q12" s="357" t="s">
        <v>14</v>
      </c>
      <c r="R12" s="358"/>
      <c r="S12" s="259"/>
      <c r="T12" s="259"/>
      <c r="AH12" s="340" t="s">
        <v>96</v>
      </c>
      <c r="AI12" s="364"/>
      <c r="AJ12" s="364"/>
      <c r="AK12" s="395">
        <v>2021</v>
      </c>
      <c r="AL12" s="358"/>
      <c r="AM12" s="395">
        <v>2022</v>
      </c>
      <c r="AN12" s="358"/>
      <c r="AO12" s="395">
        <v>2023</v>
      </c>
      <c r="AP12" s="358"/>
      <c r="AQ12" s="395">
        <v>2024</v>
      </c>
      <c r="AR12" s="358"/>
      <c r="AS12" s="395">
        <v>2025</v>
      </c>
      <c r="AT12" s="358"/>
      <c r="AU12" s="392" t="s">
        <v>137</v>
      </c>
      <c r="AV12" s="358"/>
      <c r="AW12" s="357" t="s">
        <v>14</v>
      </c>
      <c r="AX12" s="358"/>
      <c r="AY12" s="259"/>
      <c r="AZ12" s="259"/>
      <c r="BN12" s="431" t="s">
        <v>96</v>
      </c>
      <c r="BO12" s="432"/>
      <c r="BP12" s="432"/>
      <c r="BQ12" s="456">
        <v>2021</v>
      </c>
      <c r="BR12" s="436"/>
      <c r="BS12" s="456">
        <v>2022</v>
      </c>
      <c r="BT12" s="436"/>
      <c r="BU12" s="456">
        <v>2023</v>
      </c>
      <c r="BV12" s="436"/>
      <c r="BW12" s="456">
        <v>2024</v>
      </c>
      <c r="BX12" s="436"/>
      <c r="BY12" s="456">
        <v>2025</v>
      </c>
      <c r="BZ12" s="436"/>
      <c r="CA12" s="435" t="s">
        <v>137</v>
      </c>
      <c r="CB12" s="436"/>
      <c r="CC12" s="437" t="s">
        <v>237</v>
      </c>
      <c r="CD12" s="436"/>
      <c r="CE12" s="12"/>
      <c r="CF12" s="12"/>
      <c r="CG12"/>
      <c r="CH12"/>
      <c r="CI12"/>
      <c r="CJ12"/>
      <c r="CK12"/>
      <c r="CL12"/>
      <c r="CM12"/>
      <c r="CN12"/>
      <c r="CO12"/>
      <c r="CP12"/>
      <c r="CQ12"/>
      <c r="CR12"/>
    </row>
    <row r="13" spans="2:96" ht="38.450000000000003" customHeight="1" thickBot="1">
      <c r="B13" s="402" t="s">
        <v>138</v>
      </c>
      <c r="C13" s="352"/>
      <c r="D13" s="397"/>
      <c r="E13" s="403">
        <v>1</v>
      </c>
      <c r="F13" s="397"/>
      <c r="G13" s="403">
        <v>0.875</v>
      </c>
      <c r="H13" s="397"/>
      <c r="I13" s="385"/>
      <c r="J13" s="397"/>
      <c r="K13" s="385"/>
      <c r="L13" s="397"/>
      <c r="M13" s="385"/>
      <c r="N13" s="397"/>
      <c r="O13" s="396">
        <f>AVERAGE(E13:N13)</f>
        <v>0.9375</v>
      </c>
      <c r="P13" s="397"/>
      <c r="Q13" s="398">
        <v>1</v>
      </c>
      <c r="R13" s="397"/>
      <c r="T13" s="399"/>
      <c r="U13" s="365"/>
      <c r="V13" s="365"/>
      <c r="AH13" s="402" t="s">
        <v>138</v>
      </c>
      <c r="AI13" s="352"/>
      <c r="AJ13" s="397"/>
      <c r="AK13" s="403">
        <v>1</v>
      </c>
      <c r="AL13" s="397"/>
      <c r="AM13" s="403">
        <v>0.875</v>
      </c>
      <c r="AN13" s="397"/>
      <c r="AO13" s="426">
        <v>0.93</v>
      </c>
      <c r="AP13" s="397"/>
      <c r="AQ13" s="385"/>
      <c r="AR13" s="397"/>
      <c r="AS13" s="385"/>
      <c r="AT13" s="397"/>
      <c r="AU13" s="396">
        <f>AVERAGE(AK13:AT13)</f>
        <v>0.93500000000000005</v>
      </c>
      <c r="AV13" s="397"/>
      <c r="AW13" s="398">
        <v>1</v>
      </c>
      <c r="AX13" s="397"/>
      <c r="AZ13" s="399"/>
      <c r="BA13" s="365"/>
      <c r="BB13" s="365"/>
      <c r="BN13" s="457" t="s">
        <v>138</v>
      </c>
      <c r="BO13" s="429"/>
      <c r="BP13" s="458"/>
      <c r="BQ13" s="459">
        <v>1</v>
      </c>
      <c r="BR13" s="458"/>
      <c r="BS13" s="459">
        <v>0.875</v>
      </c>
      <c r="BT13" s="458"/>
      <c r="BU13" s="460">
        <v>0.93</v>
      </c>
      <c r="BV13" s="458"/>
      <c r="BW13" s="459">
        <v>1</v>
      </c>
      <c r="BX13" s="458"/>
      <c r="BY13" s="438"/>
      <c r="BZ13" s="458"/>
      <c r="CA13" s="461">
        <f>AVERAGE(BQ13:BZ13)</f>
        <v>0.95125000000000004</v>
      </c>
      <c r="CB13" s="458"/>
      <c r="CC13" s="462">
        <v>1</v>
      </c>
      <c r="CD13" s="458"/>
      <c r="CE13" t="s">
        <v>139</v>
      </c>
      <c r="CF13" s="463"/>
      <c r="CG13" s="464"/>
      <c r="CH13" s="464"/>
      <c r="CI13"/>
      <c r="CJ13"/>
      <c r="CK13"/>
      <c r="CL13"/>
      <c r="CM13"/>
      <c r="CN13"/>
      <c r="CO13"/>
      <c r="CP13"/>
      <c r="CQ13"/>
      <c r="CR13"/>
    </row>
    <row r="14" spans="2:96" ht="27.6" customHeight="1" thickBot="1">
      <c r="M14" s="83"/>
      <c r="N14" s="83"/>
      <c r="O14" s="83"/>
      <c r="P14" s="83"/>
      <c r="Q14" s="83"/>
      <c r="R14" s="83"/>
      <c r="S14" s="83"/>
      <c r="T14" s="83"/>
      <c r="AS14" s="83"/>
      <c r="AT14" s="83"/>
      <c r="AU14" s="83"/>
      <c r="AV14" s="83"/>
      <c r="AW14" s="83"/>
      <c r="AX14" s="83"/>
      <c r="AY14" s="83"/>
      <c r="AZ14" s="83"/>
      <c r="BN14"/>
      <c r="BO14"/>
      <c r="BP14"/>
      <c r="BQ14"/>
      <c r="BR14"/>
      <c r="BS14"/>
      <c r="BT14"/>
      <c r="BU14"/>
      <c r="BV14"/>
      <c r="BW14"/>
      <c r="BX14"/>
      <c r="BY14" s="4"/>
      <c r="BZ14" s="4"/>
      <c r="CA14" s="4"/>
      <c r="CB14" s="4"/>
      <c r="CC14" s="4"/>
      <c r="CD14" s="4"/>
      <c r="CE14" s="4"/>
      <c r="CF14" s="4"/>
      <c r="CG14"/>
      <c r="CH14"/>
      <c r="CI14"/>
      <c r="CJ14"/>
      <c r="CK14"/>
      <c r="CL14"/>
      <c r="CM14"/>
      <c r="CN14"/>
      <c r="CO14"/>
      <c r="CP14"/>
      <c r="CQ14"/>
      <c r="CR14"/>
    </row>
    <row r="15" spans="2:96" ht="18.600000000000001" customHeight="1" thickBot="1">
      <c r="B15" s="378" t="s">
        <v>140</v>
      </c>
      <c r="C15" s="352"/>
      <c r="D15" s="350"/>
      <c r="E15" s="354" t="s">
        <v>141</v>
      </c>
      <c r="F15" s="352"/>
      <c r="G15" s="352"/>
      <c r="H15" s="352"/>
      <c r="I15" s="352"/>
      <c r="J15" s="352"/>
      <c r="K15" s="352"/>
      <c r="L15" s="352"/>
      <c r="M15" s="352"/>
      <c r="N15" s="352"/>
      <c r="O15" s="352"/>
      <c r="P15" s="350"/>
      <c r="R15" s="400"/>
      <c r="S15" s="365"/>
      <c r="T15" s="365"/>
      <c r="U15" s="401"/>
      <c r="V15" s="365"/>
      <c r="W15" s="365"/>
      <c r="X15" s="365"/>
      <c r="Y15" s="365"/>
      <c r="Z15" s="365"/>
      <c r="AA15" s="365"/>
      <c r="AB15" s="365"/>
      <c r="AC15" s="365"/>
      <c r="AD15" s="365"/>
      <c r="AE15" s="365"/>
      <c r="AF15" s="365"/>
      <c r="AH15" s="378" t="s">
        <v>140</v>
      </c>
      <c r="AI15" s="352"/>
      <c r="AJ15" s="350"/>
      <c r="AK15" s="354" t="s">
        <v>141</v>
      </c>
      <c r="AL15" s="352"/>
      <c r="AM15" s="352"/>
      <c r="AN15" s="352"/>
      <c r="AO15" s="352"/>
      <c r="AP15" s="352"/>
      <c r="AQ15" s="352"/>
      <c r="AR15" s="352"/>
      <c r="AS15" s="352"/>
      <c r="AT15" s="352"/>
      <c r="AU15" s="352"/>
      <c r="AV15" s="350"/>
      <c r="AX15" s="400"/>
      <c r="AY15" s="365"/>
      <c r="AZ15" s="365"/>
      <c r="BA15" s="401"/>
      <c r="BB15" s="365"/>
      <c r="BC15" s="365"/>
      <c r="BD15" s="365"/>
      <c r="BE15" s="365"/>
      <c r="BF15" s="365"/>
      <c r="BG15" s="365"/>
      <c r="BH15" s="365"/>
      <c r="BI15" s="365"/>
      <c r="BJ15" s="365"/>
      <c r="BK15" s="365"/>
      <c r="BL15" s="365"/>
      <c r="BN15" s="428" t="s">
        <v>270</v>
      </c>
      <c r="BO15" s="429"/>
      <c r="BP15" s="430"/>
      <c r="BQ15" s="433" t="s">
        <v>141</v>
      </c>
      <c r="BR15" s="429"/>
      <c r="BS15" s="429"/>
      <c r="BT15" s="429"/>
      <c r="BU15" s="429"/>
      <c r="BV15" s="429"/>
      <c r="BW15" s="429"/>
      <c r="BX15" s="429"/>
      <c r="BY15" s="429"/>
      <c r="BZ15" s="429"/>
      <c r="CA15" s="429"/>
      <c r="CB15" s="430"/>
      <c r="CC15"/>
      <c r="CD15" s="465"/>
      <c r="CE15" s="464"/>
      <c r="CF15" s="464"/>
      <c r="CG15" s="466"/>
      <c r="CH15" s="464"/>
      <c r="CI15" s="464"/>
      <c r="CJ15" s="464"/>
      <c r="CK15" s="464"/>
      <c r="CL15" s="464"/>
      <c r="CM15" s="464"/>
      <c r="CN15" s="464"/>
      <c r="CO15" s="464"/>
      <c r="CP15" s="464"/>
      <c r="CQ15" s="464"/>
      <c r="CR15" s="464"/>
    </row>
    <row r="16" spans="2:96" ht="56.25" customHeight="1" thickBot="1">
      <c r="B16" s="340" t="s">
        <v>114</v>
      </c>
      <c r="C16" s="364"/>
      <c r="D16" s="364"/>
      <c r="E16" s="354" t="s">
        <v>142</v>
      </c>
      <c r="F16" s="352"/>
      <c r="G16" s="350"/>
      <c r="H16" s="354" t="s">
        <v>143</v>
      </c>
      <c r="I16" s="352"/>
      <c r="J16" s="350"/>
      <c r="K16" s="354" t="s">
        <v>117</v>
      </c>
      <c r="L16" s="352"/>
      <c r="M16" s="350"/>
      <c r="N16" s="354" t="s">
        <v>118</v>
      </c>
      <c r="O16" s="352"/>
      <c r="P16" s="350"/>
      <c r="R16" s="344"/>
      <c r="S16" s="365"/>
      <c r="T16" s="365"/>
      <c r="U16" s="401"/>
      <c r="V16" s="365"/>
      <c r="W16" s="365"/>
      <c r="X16" s="401"/>
      <c r="Y16" s="365"/>
      <c r="Z16" s="365"/>
      <c r="AA16" s="401"/>
      <c r="AB16" s="365"/>
      <c r="AC16" s="365"/>
      <c r="AD16" s="401"/>
      <c r="AE16" s="365"/>
      <c r="AF16" s="365"/>
      <c r="AH16" s="340" t="s">
        <v>114</v>
      </c>
      <c r="AI16" s="364"/>
      <c r="AJ16" s="364"/>
      <c r="AK16" s="354" t="s">
        <v>142</v>
      </c>
      <c r="AL16" s="352"/>
      <c r="AM16" s="350"/>
      <c r="AN16" s="354" t="s">
        <v>143</v>
      </c>
      <c r="AO16" s="352"/>
      <c r="AP16" s="350"/>
      <c r="AQ16" s="354" t="s">
        <v>117</v>
      </c>
      <c r="AR16" s="352"/>
      <c r="AS16" s="350"/>
      <c r="AT16" s="354" t="s">
        <v>118</v>
      </c>
      <c r="AU16" s="352"/>
      <c r="AV16" s="350"/>
      <c r="AX16" s="344"/>
      <c r="AY16" s="365"/>
      <c r="AZ16" s="365"/>
      <c r="BA16" s="401"/>
      <c r="BB16" s="365"/>
      <c r="BC16" s="365"/>
      <c r="BD16" s="401"/>
      <c r="BE16" s="365"/>
      <c r="BF16" s="365"/>
      <c r="BG16" s="401"/>
      <c r="BH16" s="365"/>
      <c r="BI16" s="365"/>
      <c r="BJ16" s="401"/>
      <c r="BK16" s="365"/>
      <c r="BL16" s="365"/>
      <c r="BN16" s="431" t="s">
        <v>114</v>
      </c>
      <c r="BO16" s="432"/>
      <c r="BP16" s="432"/>
      <c r="BQ16" s="433" t="s">
        <v>142</v>
      </c>
      <c r="BR16" s="429"/>
      <c r="BS16" s="430"/>
      <c r="BT16" s="433" t="s">
        <v>143</v>
      </c>
      <c r="BU16" s="429"/>
      <c r="BV16" s="430"/>
      <c r="BW16" s="433" t="s">
        <v>117</v>
      </c>
      <c r="BX16" s="429"/>
      <c r="BY16" s="430"/>
      <c r="BZ16" s="433" t="s">
        <v>118</v>
      </c>
      <c r="CA16" s="429"/>
      <c r="CB16" s="430"/>
      <c r="CC16"/>
      <c r="CD16" s="467"/>
      <c r="CE16" s="464"/>
      <c r="CF16" s="464"/>
      <c r="CG16" s="466"/>
      <c r="CH16" s="464"/>
      <c r="CI16" s="464"/>
      <c r="CJ16" s="466"/>
      <c r="CK16" s="464"/>
      <c r="CL16" s="464"/>
      <c r="CM16" s="466"/>
      <c r="CN16" s="464"/>
      <c r="CO16" s="464"/>
      <c r="CP16" s="466"/>
      <c r="CQ16" s="464"/>
      <c r="CR16" s="464"/>
    </row>
    <row r="17" spans="2:96" ht="62.45" customHeight="1" thickBot="1">
      <c r="B17" s="412" t="s">
        <v>144</v>
      </c>
      <c r="C17" s="413"/>
      <c r="D17" s="414"/>
      <c r="E17" s="409" t="s">
        <v>145</v>
      </c>
      <c r="F17" s="352"/>
      <c r="G17" s="350"/>
      <c r="H17" s="404" t="s">
        <v>146</v>
      </c>
      <c r="I17" s="352"/>
      <c r="J17" s="350"/>
      <c r="K17" s="349" t="s">
        <v>147</v>
      </c>
      <c r="L17" s="352"/>
      <c r="M17" s="350"/>
      <c r="N17" s="405" t="s">
        <v>148</v>
      </c>
      <c r="O17" s="352"/>
      <c r="P17" s="350"/>
      <c r="R17" s="264"/>
      <c r="S17" s="264"/>
      <c r="T17" s="264"/>
      <c r="U17" s="406"/>
      <c r="V17" s="365"/>
      <c r="W17" s="365"/>
      <c r="X17" s="411"/>
      <c r="Y17" s="365"/>
      <c r="Z17" s="365"/>
      <c r="AA17" s="411"/>
      <c r="AB17" s="365"/>
      <c r="AC17" s="365"/>
      <c r="AD17" s="408"/>
      <c r="AE17" s="365"/>
      <c r="AF17" s="365"/>
      <c r="AH17" s="412" t="s">
        <v>144</v>
      </c>
      <c r="AI17" s="413"/>
      <c r="AJ17" s="414"/>
      <c r="AK17" s="409" t="s">
        <v>145</v>
      </c>
      <c r="AL17" s="352"/>
      <c r="AM17" s="350"/>
      <c r="AN17" s="404" t="s">
        <v>146</v>
      </c>
      <c r="AO17" s="352"/>
      <c r="AP17" s="350"/>
      <c r="AQ17" s="427" t="s">
        <v>147</v>
      </c>
      <c r="AR17" s="352"/>
      <c r="AS17" s="350"/>
      <c r="AT17" s="405" t="s">
        <v>148</v>
      </c>
      <c r="AU17" s="352"/>
      <c r="AV17" s="350"/>
      <c r="AX17" s="264"/>
      <c r="AY17" s="264"/>
      <c r="AZ17" s="264"/>
      <c r="BA17" s="406"/>
      <c r="BB17" s="365"/>
      <c r="BC17" s="365"/>
      <c r="BD17" s="411"/>
      <c r="BE17" s="365"/>
      <c r="BF17" s="365"/>
      <c r="BG17" s="411"/>
      <c r="BH17" s="365"/>
      <c r="BI17" s="365"/>
      <c r="BJ17" s="408"/>
      <c r="BK17" s="365"/>
      <c r="BL17" s="365"/>
      <c r="BN17" s="468" t="s">
        <v>271</v>
      </c>
      <c r="BO17" s="469"/>
      <c r="BP17" s="470"/>
      <c r="BQ17" s="476" t="s">
        <v>145</v>
      </c>
      <c r="BR17" s="429"/>
      <c r="BS17" s="430"/>
      <c r="BT17" s="477" t="s">
        <v>146</v>
      </c>
      <c r="BU17" s="429"/>
      <c r="BV17" s="430"/>
      <c r="BW17" s="446" t="s">
        <v>147</v>
      </c>
      <c r="BX17" s="429"/>
      <c r="BY17" s="430"/>
      <c r="BZ17" s="478" t="s">
        <v>148</v>
      </c>
      <c r="CA17" s="429"/>
      <c r="CB17" s="430"/>
      <c r="CC17"/>
      <c r="CD17" s="17"/>
      <c r="CE17" s="17"/>
      <c r="CF17" s="17"/>
      <c r="CG17" s="479"/>
      <c r="CH17" s="464"/>
      <c r="CI17" s="464"/>
      <c r="CJ17" s="480"/>
      <c r="CK17" s="464"/>
      <c r="CL17" s="464"/>
      <c r="CM17" s="480"/>
      <c r="CN17" s="464"/>
      <c r="CO17" s="464"/>
      <c r="CP17" s="481"/>
      <c r="CQ17" s="464"/>
      <c r="CR17" s="464"/>
    </row>
    <row r="18" spans="2:96" ht="54.6" customHeight="1" thickBot="1">
      <c r="B18" s="415"/>
      <c r="C18" s="365"/>
      <c r="D18" s="416"/>
      <c r="E18" s="409" t="s">
        <v>145</v>
      </c>
      <c r="F18" s="352"/>
      <c r="G18" s="350"/>
      <c r="H18" s="404" t="s">
        <v>146</v>
      </c>
      <c r="I18" s="352"/>
      <c r="J18" s="350"/>
      <c r="K18" s="349" t="s">
        <v>149</v>
      </c>
      <c r="L18" s="352"/>
      <c r="M18" s="350"/>
      <c r="N18" s="410" t="s">
        <v>150</v>
      </c>
      <c r="O18" s="352"/>
      <c r="P18" s="350"/>
      <c r="R18" s="264"/>
      <c r="S18" s="264"/>
      <c r="T18" s="264"/>
      <c r="U18" s="406"/>
      <c r="V18" s="365"/>
      <c r="W18" s="365"/>
      <c r="X18" s="411"/>
      <c r="Y18" s="365"/>
      <c r="Z18" s="365"/>
      <c r="AA18" s="411"/>
      <c r="AB18" s="365"/>
      <c r="AC18" s="365"/>
      <c r="AD18" s="408"/>
      <c r="AE18" s="365"/>
      <c r="AF18" s="365"/>
      <c r="AH18" s="415"/>
      <c r="AI18" s="365"/>
      <c r="AJ18" s="416"/>
      <c r="AK18" s="409" t="s">
        <v>145</v>
      </c>
      <c r="AL18" s="352"/>
      <c r="AM18" s="350"/>
      <c r="AN18" s="404" t="s">
        <v>146</v>
      </c>
      <c r="AO18" s="352"/>
      <c r="AP18" s="350"/>
      <c r="AQ18" s="427" t="s">
        <v>149</v>
      </c>
      <c r="AR18" s="352"/>
      <c r="AS18" s="350"/>
      <c r="AT18" s="410" t="s">
        <v>150</v>
      </c>
      <c r="AU18" s="352"/>
      <c r="AV18" s="350"/>
      <c r="AX18" s="264"/>
      <c r="AY18" s="264"/>
      <c r="AZ18" s="264"/>
      <c r="BA18" s="406"/>
      <c r="BB18" s="365"/>
      <c r="BC18" s="365"/>
      <c r="BD18" s="411"/>
      <c r="BE18" s="365"/>
      <c r="BF18" s="365"/>
      <c r="BG18" s="411"/>
      <c r="BH18" s="365"/>
      <c r="BI18" s="365"/>
      <c r="BJ18" s="408"/>
      <c r="BK18" s="365"/>
      <c r="BL18" s="365"/>
      <c r="BN18" s="471"/>
      <c r="BO18" s="464"/>
      <c r="BP18" s="472"/>
      <c r="BQ18" s="476" t="s">
        <v>145</v>
      </c>
      <c r="BR18" s="429"/>
      <c r="BS18" s="430"/>
      <c r="BT18" s="477" t="s">
        <v>146</v>
      </c>
      <c r="BU18" s="429"/>
      <c r="BV18" s="430"/>
      <c r="BW18" s="446" t="s">
        <v>149</v>
      </c>
      <c r="BX18" s="429"/>
      <c r="BY18" s="430"/>
      <c r="BZ18" s="482" t="s">
        <v>150</v>
      </c>
      <c r="CA18" s="429"/>
      <c r="CB18" s="430"/>
      <c r="CC18"/>
      <c r="CD18" s="17"/>
      <c r="CE18" s="17"/>
      <c r="CF18" s="17"/>
      <c r="CG18" s="479"/>
      <c r="CH18" s="464"/>
      <c r="CI18" s="464"/>
      <c r="CJ18" s="480"/>
      <c r="CK18" s="464"/>
      <c r="CL18" s="464"/>
      <c r="CM18" s="480"/>
      <c r="CN18" s="464"/>
      <c r="CO18" s="464"/>
      <c r="CP18" s="481"/>
      <c r="CQ18" s="464"/>
      <c r="CR18" s="464"/>
    </row>
    <row r="19" spans="2:96" ht="54.6" customHeight="1" thickBot="1">
      <c r="B19" s="417"/>
      <c r="C19" s="418"/>
      <c r="D19" s="419"/>
      <c r="E19" s="409" t="s">
        <v>151</v>
      </c>
      <c r="F19" s="352"/>
      <c r="G19" s="350"/>
      <c r="H19" s="404" t="s">
        <v>152</v>
      </c>
      <c r="I19" s="352"/>
      <c r="J19" s="350"/>
      <c r="K19" s="349" t="s">
        <v>153</v>
      </c>
      <c r="L19" s="352"/>
      <c r="M19" s="350"/>
      <c r="N19" s="410" t="s">
        <v>154</v>
      </c>
      <c r="O19" s="352"/>
      <c r="P19" s="350"/>
      <c r="R19" s="264"/>
      <c r="S19" s="265"/>
      <c r="T19" s="265"/>
      <c r="U19" s="406"/>
      <c r="V19" s="365"/>
      <c r="W19" s="365"/>
      <c r="X19" s="411"/>
      <c r="Y19" s="365"/>
      <c r="Z19" s="365"/>
      <c r="AA19" s="411"/>
      <c r="AB19" s="365"/>
      <c r="AC19" s="365"/>
      <c r="AD19" s="408"/>
      <c r="AE19" s="365"/>
      <c r="AF19" s="365"/>
      <c r="AH19" s="417"/>
      <c r="AI19" s="418"/>
      <c r="AJ19" s="419"/>
      <c r="AK19" s="409" t="s">
        <v>151</v>
      </c>
      <c r="AL19" s="352"/>
      <c r="AM19" s="350"/>
      <c r="AN19" s="404" t="s">
        <v>152</v>
      </c>
      <c r="AO19" s="352"/>
      <c r="AP19" s="350"/>
      <c r="AQ19" s="427" t="s">
        <v>153</v>
      </c>
      <c r="AR19" s="352"/>
      <c r="AS19" s="350"/>
      <c r="AT19" s="410" t="s">
        <v>154</v>
      </c>
      <c r="AU19" s="352"/>
      <c r="AV19" s="350"/>
      <c r="AX19" s="264"/>
      <c r="AY19" s="265"/>
      <c r="AZ19" s="265"/>
      <c r="BA19" s="406"/>
      <c r="BB19" s="365"/>
      <c r="BC19" s="365"/>
      <c r="BD19" s="411"/>
      <c r="BE19" s="365"/>
      <c r="BF19" s="365"/>
      <c r="BG19" s="411"/>
      <c r="BH19" s="365"/>
      <c r="BI19" s="365"/>
      <c r="BJ19" s="408"/>
      <c r="BK19" s="365"/>
      <c r="BL19" s="365"/>
      <c r="BN19" s="473"/>
      <c r="BO19" s="474"/>
      <c r="BP19" s="475"/>
      <c r="BQ19" s="476" t="s">
        <v>151</v>
      </c>
      <c r="BR19" s="429"/>
      <c r="BS19" s="430"/>
      <c r="BT19" s="477" t="s">
        <v>152</v>
      </c>
      <c r="BU19" s="429"/>
      <c r="BV19" s="430"/>
      <c r="BW19" s="446" t="s">
        <v>153</v>
      </c>
      <c r="BX19" s="429"/>
      <c r="BY19" s="430"/>
      <c r="BZ19" s="482" t="s">
        <v>154</v>
      </c>
      <c r="CA19" s="429"/>
      <c r="CB19" s="430"/>
      <c r="CC19"/>
      <c r="CD19" s="17"/>
      <c r="CE19" s="18"/>
      <c r="CF19" s="18"/>
      <c r="CG19" s="479"/>
      <c r="CH19" s="464"/>
      <c r="CI19" s="464"/>
      <c r="CJ19" s="480"/>
      <c r="CK19" s="464"/>
      <c r="CL19" s="464"/>
      <c r="CM19" s="480"/>
      <c r="CN19" s="464"/>
      <c r="CO19" s="464"/>
      <c r="CP19" s="481"/>
      <c r="CQ19" s="464"/>
      <c r="CR19" s="464"/>
    </row>
    <row r="20" spans="2:96" ht="18" customHeight="1">
      <c r="B20" s="356" t="s">
        <v>155</v>
      </c>
      <c r="C20" s="365"/>
      <c r="D20" s="365"/>
      <c r="E20" s="365"/>
      <c r="F20" s="365"/>
      <c r="G20" s="365"/>
      <c r="H20" s="365"/>
      <c r="I20" s="365"/>
      <c r="J20" s="365"/>
      <c r="K20" s="365"/>
      <c r="L20" s="365"/>
      <c r="M20" s="365"/>
      <c r="N20" s="365"/>
      <c r="O20" s="365"/>
      <c r="P20" s="365"/>
      <c r="R20" s="406"/>
      <c r="S20" s="365"/>
      <c r="T20" s="365"/>
      <c r="U20" s="365"/>
      <c r="V20" s="365"/>
      <c r="W20" s="365"/>
      <c r="X20" s="365"/>
      <c r="Y20" s="365"/>
      <c r="Z20" s="365"/>
      <c r="AA20" s="365"/>
      <c r="AB20" s="365"/>
      <c r="AC20" s="365"/>
      <c r="AD20" s="365"/>
      <c r="AE20" s="365"/>
      <c r="AF20" s="365"/>
      <c r="AH20" s="434" t="s">
        <v>234</v>
      </c>
      <c r="AI20" s="365"/>
      <c r="AJ20" s="365"/>
      <c r="AK20" s="365"/>
      <c r="AL20" s="365"/>
      <c r="AM20" s="365"/>
      <c r="AN20" s="365"/>
      <c r="AO20" s="365"/>
      <c r="AP20" s="365"/>
      <c r="AQ20" s="365"/>
      <c r="AR20" s="365"/>
      <c r="AS20" s="365"/>
      <c r="AT20" s="365"/>
      <c r="AU20" s="365"/>
      <c r="AV20" s="365"/>
      <c r="AX20" s="406"/>
      <c r="AY20" s="365"/>
      <c r="AZ20" s="365"/>
      <c r="BA20" s="365"/>
      <c r="BB20" s="365"/>
      <c r="BC20" s="365"/>
      <c r="BD20" s="365"/>
      <c r="BE20" s="365"/>
      <c r="BF20" s="365"/>
      <c r="BG20" s="365"/>
      <c r="BH20" s="365"/>
      <c r="BI20" s="365"/>
      <c r="BJ20" s="365"/>
      <c r="BK20" s="365"/>
      <c r="BL20" s="365"/>
      <c r="BN20" s="483" t="s">
        <v>272</v>
      </c>
      <c r="BO20" s="464"/>
      <c r="BP20" s="464"/>
      <c r="BQ20" s="464"/>
      <c r="BR20" s="464"/>
      <c r="BS20" s="464"/>
      <c r="BT20" s="464"/>
      <c r="BU20" s="464"/>
      <c r="BV20" s="464"/>
      <c r="BW20" s="464"/>
      <c r="BX20" s="464"/>
      <c r="BY20" s="464"/>
      <c r="BZ20" s="464"/>
      <c r="CA20" s="464"/>
      <c r="CB20" s="464"/>
      <c r="CC20"/>
      <c r="CD20" s="479"/>
      <c r="CE20" s="464"/>
      <c r="CF20" s="464"/>
      <c r="CG20" s="464"/>
      <c r="CH20" s="464"/>
      <c r="CI20" s="464"/>
      <c r="CJ20" s="464"/>
      <c r="CK20" s="464"/>
      <c r="CL20" s="464"/>
      <c r="CM20" s="464"/>
      <c r="CN20" s="464"/>
      <c r="CO20" s="464"/>
      <c r="CP20" s="464"/>
      <c r="CQ20" s="464"/>
      <c r="CR20" s="464"/>
    </row>
    <row r="21" spans="2:96" ht="14.45" customHeight="1">
      <c r="B21" s="365"/>
      <c r="C21" s="365"/>
      <c r="D21" s="365"/>
      <c r="E21" s="365"/>
      <c r="F21" s="365"/>
      <c r="G21" s="365"/>
      <c r="H21" s="365"/>
      <c r="I21" s="365"/>
      <c r="J21" s="365"/>
      <c r="K21" s="365"/>
      <c r="L21" s="365"/>
      <c r="M21" s="365"/>
      <c r="N21" s="365"/>
      <c r="O21" s="365"/>
      <c r="P21" s="365"/>
      <c r="R21" s="365"/>
      <c r="S21" s="365"/>
      <c r="T21" s="365"/>
      <c r="U21" s="365"/>
      <c r="V21" s="365"/>
      <c r="W21" s="365"/>
      <c r="X21" s="365"/>
      <c r="Y21" s="365"/>
      <c r="Z21" s="365"/>
      <c r="AA21" s="365"/>
      <c r="AB21" s="365"/>
      <c r="AC21" s="365"/>
      <c r="AD21" s="365"/>
      <c r="AE21" s="365"/>
      <c r="AF21" s="365"/>
      <c r="AH21" s="365"/>
      <c r="AI21" s="365"/>
      <c r="AJ21" s="365"/>
      <c r="AK21" s="365"/>
      <c r="AL21" s="365"/>
      <c r="AM21" s="365"/>
      <c r="AN21" s="365"/>
      <c r="AO21" s="365"/>
      <c r="AP21" s="365"/>
      <c r="AQ21" s="365"/>
      <c r="AR21" s="365"/>
      <c r="AS21" s="365"/>
      <c r="AT21" s="365"/>
      <c r="AU21" s="365"/>
      <c r="AV21" s="365"/>
      <c r="AX21" s="365"/>
      <c r="AY21" s="365"/>
      <c r="AZ21" s="365"/>
      <c r="BA21" s="365"/>
      <c r="BB21" s="365"/>
      <c r="BC21" s="365"/>
      <c r="BD21" s="365"/>
      <c r="BE21" s="365"/>
      <c r="BF21" s="365"/>
      <c r="BG21" s="365"/>
      <c r="BH21" s="365"/>
      <c r="BI21" s="365"/>
      <c r="BJ21" s="365"/>
      <c r="BK21" s="365"/>
      <c r="BL21" s="365"/>
      <c r="BN21" s="464"/>
      <c r="BO21" s="464"/>
      <c r="BP21" s="464"/>
      <c r="BQ21" s="464"/>
      <c r="BR21" s="464"/>
      <c r="BS21" s="464"/>
      <c r="BT21" s="464"/>
      <c r="BU21" s="464"/>
      <c r="BV21" s="464"/>
      <c r="BW21" s="464"/>
      <c r="BX21" s="464"/>
      <c r="BY21" s="464"/>
      <c r="BZ21" s="464"/>
      <c r="CA21" s="464"/>
      <c r="CB21" s="464"/>
      <c r="CC21"/>
      <c r="CD21" s="464"/>
      <c r="CE21" s="464"/>
      <c r="CF21" s="464"/>
      <c r="CG21" s="464"/>
      <c r="CH21" s="464"/>
      <c r="CI21" s="464"/>
      <c r="CJ21" s="464"/>
      <c r="CK21" s="464"/>
      <c r="CL21" s="464"/>
      <c r="CM21" s="464"/>
      <c r="CN21" s="464"/>
      <c r="CO21" s="464"/>
      <c r="CP21" s="464"/>
      <c r="CQ21" s="464"/>
      <c r="CR21" s="464"/>
    </row>
    <row r="22" spans="2:96" ht="14.45" customHeight="1">
      <c r="B22" s="365"/>
      <c r="C22" s="365"/>
      <c r="D22" s="365"/>
      <c r="E22" s="365"/>
      <c r="F22" s="365"/>
      <c r="G22" s="365"/>
      <c r="H22" s="365"/>
      <c r="I22" s="365"/>
      <c r="J22" s="365"/>
      <c r="K22" s="365"/>
      <c r="L22" s="365"/>
      <c r="M22" s="365"/>
      <c r="N22" s="365"/>
      <c r="O22" s="365"/>
      <c r="P22" s="365"/>
      <c r="R22" s="365"/>
      <c r="S22" s="365"/>
      <c r="T22" s="365"/>
      <c r="U22" s="365"/>
      <c r="V22" s="365"/>
      <c r="W22" s="365"/>
      <c r="X22" s="365"/>
      <c r="Y22" s="365"/>
      <c r="Z22" s="365"/>
      <c r="AA22" s="365"/>
      <c r="AB22" s="365"/>
      <c r="AC22" s="365"/>
      <c r="AD22" s="365"/>
      <c r="AE22" s="365"/>
      <c r="AF22" s="365"/>
      <c r="AH22" s="365"/>
      <c r="AI22" s="365"/>
      <c r="AJ22" s="365"/>
      <c r="AK22" s="365"/>
      <c r="AL22" s="365"/>
      <c r="AM22" s="365"/>
      <c r="AN22" s="365"/>
      <c r="AO22" s="365"/>
      <c r="AP22" s="365"/>
      <c r="AQ22" s="365"/>
      <c r="AR22" s="365"/>
      <c r="AS22" s="365"/>
      <c r="AT22" s="365"/>
      <c r="AU22" s="365"/>
      <c r="AV22" s="365"/>
      <c r="AX22" s="365"/>
      <c r="AY22" s="365"/>
      <c r="AZ22" s="365"/>
      <c r="BA22" s="365"/>
      <c r="BB22" s="365"/>
      <c r="BC22" s="365"/>
      <c r="BD22" s="365"/>
      <c r="BE22" s="365"/>
      <c r="BF22" s="365"/>
      <c r="BG22" s="365"/>
      <c r="BH22" s="365"/>
      <c r="BI22" s="365"/>
      <c r="BJ22" s="365"/>
      <c r="BK22" s="365"/>
      <c r="BL22" s="365"/>
      <c r="BN22" s="464"/>
      <c r="BO22" s="464"/>
      <c r="BP22" s="464"/>
      <c r="BQ22" s="464"/>
      <c r="BR22" s="464"/>
      <c r="BS22" s="464"/>
      <c r="BT22" s="464"/>
      <c r="BU22" s="464"/>
      <c r="BV22" s="464"/>
      <c r="BW22" s="464"/>
      <c r="BX22" s="464"/>
      <c r="BY22" s="464"/>
      <c r="BZ22" s="464"/>
      <c r="CA22" s="464"/>
      <c r="CB22" s="464"/>
      <c r="CC22"/>
      <c r="CD22" s="464"/>
      <c r="CE22" s="464"/>
      <c r="CF22" s="464"/>
      <c r="CG22" s="464"/>
      <c r="CH22" s="464"/>
      <c r="CI22" s="464"/>
      <c r="CJ22" s="464"/>
      <c r="CK22" s="464"/>
      <c r="CL22" s="464"/>
      <c r="CM22" s="464"/>
      <c r="CN22" s="464"/>
      <c r="CO22" s="464"/>
      <c r="CP22" s="464"/>
      <c r="CQ22" s="464"/>
      <c r="CR22" s="464"/>
    </row>
    <row r="23" spans="2:96" ht="14.45" customHeight="1" thickBot="1">
      <c r="B23" s="365"/>
      <c r="C23" s="365"/>
      <c r="D23" s="365"/>
      <c r="E23" s="365"/>
      <c r="F23" s="365"/>
      <c r="G23" s="365"/>
      <c r="H23" s="365"/>
      <c r="I23" s="365"/>
      <c r="J23" s="365"/>
      <c r="K23" s="365"/>
      <c r="L23" s="365"/>
      <c r="M23" s="365"/>
      <c r="N23" s="365"/>
      <c r="O23" s="365"/>
      <c r="P23" s="365"/>
      <c r="R23" s="365"/>
      <c r="S23" s="365"/>
      <c r="T23" s="365"/>
      <c r="U23" s="365"/>
      <c r="V23" s="365"/>
      <c r="W23" s="365"/>
      <c r="X23" s="365"/>
      <c r="Y23" s="365"/>
      <c r="Z23" s="365"/>
      <c r="AA23" s="365"/>
      <c r="AB23" s="365"/>
      <c r="AC23" s="365"/>
      <c r="AD23" s="365"/>
      <c r="AE23" s="365"/>
      <c r="AF23" s="365"/>
      <c r="AH23" s="365"/>
      <c r="AI23" s="365"/>
      <c r="AJ23" s="365"/>
      <c r="AK23" s="365"/>
      <c r="AL23" s="365"/>
      <c r="AM23" s="365"/>
      <c r="AN23" s="365"/>
      <c r="AO23" s="365"/>
      <c r="AP23" s="365"/>
      <c r="AQ23" s="365"/>
      <c r="AR23" s="365"/>
      <c r="AS23" s="365"/>
      <c r="AT23" s="365"/>
      <c r="AU23" s="365"/>
      <c r="AV23" s="365"/>
      <c r="AX23" s="365"/>
      <c r="AY23" s="365"/>
      <c r="AZ23" s="365"/>
      <c r="BA23" s="365"/>
      <c r="BB23" s="365"/>
      <c r="BC23" s="365"/>
      <c r="BD23" s="365"/>
      <c r="BE23" s="365"/>
      <c r="BF23" s="365"/>
      <c r="BG23" s="365"/>
      <c r="BH23" s="365"/>
      <c r="BI23" s="365"/>
      <c r="BJ23" s="365"/>
      <c r="BK23" s="365"/>
      <c r="BL23" s="365"/>
      <c r="BN23" s="464"/>
      <c r="BO23" s="464"/>
      <c r="BP23" s="464"/>
      <c r="BQ23" s="464"/>
      <c r="BR23" s="464"/>
      <c r="BS23" s="464"/>
      <c r="BT23" s="464"/>
      <c r="BU23" s="464"/>
      <c r="BV23" s="464"/>
      <c r="BW23" s="464"/>
      <c r="BX23" s="464"/>
      <c r="BY23" s="464"/>
      <c r="BZ23" s="464"/>
      <c r="CA23" s="464"/>
      <c r="CB23" s="464"/>
      <c r="CC23"/>
      <c r="CD23" s="464"/>
      <c r="CE23" s="464"/>
      <c r="CF23" s="464"/>
      <c r="CG23" s="464"/>
      <c r="CH23" s="464"/>
      <c r="CI23" s="464"/>
      <c r="CJ23" s="464"/>
      <c r="CK23" s="464"/>
      <c r="CL23" s="464"/>
      <c r="CM23" s="464"/>
      <c r="CN23" s="464"/>
      <c r="CO23" s="464"/>
      <c r="CP23" s="464"/>
      <c r="CQ23" s="464"/>
      <c r="CR23" s="464"/>
    </row>
    <row r="24" spans="2:96" ht="18.600000000000001" customHeight="1" thickBot="1">
      <c r="B24" s="378" t="s">
        <v>156</v>
      </c>
      <c r="C24" s="352"/>
      <c r="D24" s="350"/>
      <c r="E24" s="354" t="s">
        <v>141</v>
      </c>
      <c r="F24" s="352"/>
      <c r="G24" s="352"/>
      <c r="H24" s="352"/>
      <c r="I24" s="352"/>
      <c r="J24" s="352"/>
      <c r="K24" s="352"/>
      <c r="L24" s="352"/>
      <c r="M24" s="352"/>
      <c r="N24" s="352"/>
      <c r="O24" s="352"/>
      <c r="P24" s="350"/>
      <c r="R24" s="400"/>
      <c r="S24" s="365"/>
      <c r="T24" s="365"/>
      <c r="U24" s="407"/>
      <c r="V24" s="365"/>
      <c r="W24" s="365"/>
      <c r="X24" s="365"/>
      <c r="Y24" s="365"/>
      <c r="Z24" s="365"/>
      <c r="AA24" s="365"/>
      <c r="AB24" s="365"/>
      <c r="AC24" s="365"/>
      <c r="AD24" s="365"/>
      <c r="AE24" s="365"/>
      <c r="AF24" s="365"/>
      <c r="AH24" s="378" t="s">
        <v>156</v>
      </c>
      <c r="AI24" s="352"/>
      <c r="AJ24" s="350"/>
      <c r="AK24" s="354" t="s">
        <v>141</v>
      </c>
      <c r="AL24" s="352"/>
      <c r="AM24" s="352"/>
      <c r="AN24" s="352"/>
      <c r="AO24" s="352"/>
      <c r="AP24" s="352"/>
      <c r="AQ24" s="352"/>
      <c r="AR24" s="352"/>
      <c r="AS24" s="352"/>
      <c r="AT24" s="352"/>
      <c r="AU24" s="352"/>
      <c r="AV24" s="350"/>
      <c r="AX24" s="400"/>
      <c r="AY24" s="365"/>
      <c r="AZ24" s="365"/>
      <c r="BA24" s="407"/>
      <c r="BB24" s="365"/>
      <c r="BC24" s="365"/>
      <c r="BD24" s="365"/>
      <c r="BE24" s="365"/>
      <c r="BF24" s="365"/>
      <c r="BG24" s="365"/>
      <c r="BH24" s="365"/>
      <c r="BI24" s="365"/>
      <c r="BJ24" s="365"/>
      <c r="BK24" s="365"/>
      <c r="BL24" s="365"/>
      <c r="BN24" s="428" t="s">
        <v>273</v>
      </c>
      <c r="BO24" s="429"/>
      <c r="BP24" s="430"/>
      <c r="BQ24" s="433" t="s">
        <v>141</v>
      </c>
      <c r="BR24" s="429"/>
      <c r="BS24" s="429"/>
      <c r="BT24" s="429"/>
      <c r="BU24" s="429"/>
      <c r="BV24" s="429"/>
      <c r="BW24" s="429"/>
      <c r="BX24" s="429"/>
      <c r="BY24" s="429"/>
      <c r="BZ24" s="429"/>
      <c r="CA24" s="429"/>
      <c r="CB24" s="430"/>
      <c r="CC24"/>
      <c r="CD24" s="484"/>
      <c r="CE24" s="464"/>
      <c r="CF24" s="464"/>
      <c r="CG24" s="485"/>
      <c r="CH24" s="464"/>
      <c r="CI24" s="464"/>
      <c r="CJ24" s="464"/>
      <c r="CK24" s="464"/>
      <c r="CL24" s="464"/>
      <c r="CM24" s="464"/>
      <c r="CN24" s="464"/>
      <c r="CO24" s="464"/>
      <c r="CP24" s="464"/>
      <c r="CQ24" s="464"/>
      <c r="CR24" s="464"/>
    </row>
    <row r="25" spans="2:96" ht="56.25" customHeight="1" thickBot="1">
      <c r="B25" s="340" t="s">
        <v>114</v>
      </c>
      <c r="C25" s="364"/>
      <c r="D25" s="364"/>
      <c r="E25" s="354" t="s">
        <v>142</v>
      </c>
      <c r="F25" s="352"/>
      <c r="G25" s="350"/>
      <c r="H25" s="354" t="s">
        <v>143</v>
      </c>
      <c r="I25" s="352"/>
      <c r="J25" s="350"/>
      <c r="K25" s="354" t="s">
        <v>117</v>
      </c>
      <c r="L25" s="352"/>
      <c r="M25" s="350"/>
      <c r="N25" s="354" t="s">
        <v>118</v>
      </c>
      <c r="O25" s="352"/>
      <c r="P25" s="350"/>
      <c r="R25" s="400"/>
      <c r="S25" s="365"/>
      <c r="T25" s="365"/>
      <c r="U25" s="407"/>
      <c r="V25" s="365"/>
      <c r="W25" s="365"/>
      <c r="X25" s="407"/>
      <c r="Y25" s="365"/>
      <c r="Z25" s="365"/>
      <c r="AA25" s="407"/>
      <c r="AB25" s="365"/>
      <c r="AC25" s="365"/>
      <c r="AD25" s="407"/>
      <c r="AE25" s="365"/>
      <c r="AF25" s="365"/>
      <c r="AH25" s="340" t="s">
        <v>114</v>
      </c>
      <c r="AI25" s="364"/>
      <c r="AJ25" s="364"/>
      <c r="AK25" s="354" t="s">
        <v>142</v>
      </c>
      <c r="AL25" s="352"/>
      <c r="AM25" s="350"/>
      <c r="AN25" s="354" t="s">
        <v>143</v>
      </c>
      <c r="AO25" s="352"/>
      <c r="AP25" s="350"/>
      <c r="AQ25" s="354" t="s">
        <v>117</v>
      </c>
      <c r="AR25" s="352"/>
      <c r="AS25" s="350"/>
      <c r="AT25" s="354" t="s">
        <v>118</v>
      </c>
      <c r="AU25" s="352"/>
      <c r="AV25" s="350"/>
      <c r="AX25" s="400"/>
      <c r="AY25" s="365"/>
      <c r="AZ25" s="365"/>
      <c r="BA25" s="407"/>
      <c r="BB25" s="365"/>
      <c r="BC25" s="365"/>
      <c r="BD25" s="407"/>
      <c r="BE25" s="365"/>
      <c r="BF25" s="365"/>
      <c r="BG25" s="407"/>
      <c r="BH25" s="365"/>
      <c r="BI25" s="365"/>
      <c r="BJ25" s="407"/>
      <c r="BK25" s="365"/>
      <c r="BL25" s="365"/>
      <c r="BN25" s="431" t="s">
        <v>114</v>
      </c>
      <c r="BO25" s="432"/>
      <c r="BP25" s="432"/>
      <c r="BQ25" s="433" t="s">
        <v>142</v>
      </c>
      <c r="BR25" s="429"/>
      <c r="BS25" s="430"/>
      <c r="BT25" s="433" t="s">
        <v>143</v>
      </c>
      <c r="BU25" s="429"/>
      <c r="BV25" s="430"/>
      <c r="BW25" s="433" t="s">
        <v>117</v>
      </c>
      <c r="BX25" s="429"/>
      <c r="BY25" s="430"/>
      <c r="BZ25" s="433" t="s">
        <v>118</v>
      </c>
      <c r="CA25" s="429"/>
      <c r="CB25" s="430"/>
      <c r="CC25"/>
      <c r="CD25" s="484"/>
      <c r="CE25" s="464"/>
      <c r="CF25" s="464"/>
      <c r="CG25" s="485"/>
      <c r="CH25" s="464"/>
      <c r="CI25" s="464"/>
      <c r="CJ25" s="485"/>
      <c r="CK25" s="464"/>
      <c r="CL25" s="464"/>
      <c r="CM25" s="485"/>
      <c r="CN25" s="464"/>
      <c r="CO25" s="464"/>
      <c r="CP25" s="485"/>
      <c r="CQ25" s="464"/>
      <c r="CR25" s="464"/>
    </row>
    <row r="26" spans="2:96" ht="62.45" customHeight="1" thickBot="1">
      <c r="B26" s="395" t="s">
        <v>157</v>
      </c>
      <c r="C26" s="364"/>
      <c r="D26" s="358"/>
      <c r="E26" s="409" t="s">
        <v>145</v>
      </c>
      <c r="F26" s="352"/>
      <c r="G26" s="350"/>
      <c r="H26" s="404" t="s">
        <v>158</v>
      </c>
      <c r="I26" s="352"/>
      <c r="J26" s="350"/>
      <c r="K26" s="349" t="s">
        <v>159</v>
      </c>
      <c r="L26" s="352"/>
      <c r="M26" s="350"/>
      <c r="N26" s="405" t="s">
        <v>160</v>
      </c>
      <c r="O26" s="352"/>
      <c r="P26" s="350"/>
      <c r="R26" s="400"/>
      <c r="S26" s="365"/>
      <c r="T26" s="365"/>
      <c r="U26" s="420"/>
      <c r="V26" s="365"/>
      <c r="W26" s="365"/>
      <c r="X26" s="421"/>
      <c r="Y26" s="365"/>
      <c r="Z26" s="365"/>
      <c r="AA26" s="421"/>
      <c r="AB26" s="365"/>
      <c r="AC26" s="365"/>
      <c r="AD26" s="422"/>
      <c r="AE26" s="365"/>
      <c r="AF26" s="365"/>
      <c r="AH26" s="395" t="s">
        <v>157</v>
      </c>
      <c r="AI26" s="364"/>
      <c r="AJ26" s="358"/>
      <c r="AK26" s="409" t="s">
        <v>145</v>
      </c>
      <c r="AL26" s="352"/>
      <c r="AM26" s="350"/>
      <c r="AN26" s="404" t="s">
        <v>158</v>
      </c>
      <c r="AO26" s="352"/>
      <c r="AP26" s="350"/>
      <c r="AQ26" s="427" t="s">
        <v>235</v>
      </c>
      <c r="AR26" s="352"/>
      <c r="AS26" s="350"/>
      <c r="AT26" s="405" t="s">
        <v>160</v>
      </c>
      <c r="AU26" s="352"/>
      <c r="AV26" s="350"/>
      <c r="AX26" s="400"/>
      <c r="AY26" s="365"/>
      <c r="AZ26" s="365"/>
      <c r="BA26" s="420"/>
      <c r="BB26" s="365"/>
      <c r="BC26" s="365"/>
      <c r="BD26" s="421"/>
      <c r="BE26" s="365"/>
      <c r="BF26" s="365"/>
      <c r="BG26" s="421"/>
      <c r="BH26" s="365"/>
      <c r="BI26" s="365"/>
      <c r="BJ26" s="422"/>
      <c r="BK26" s="365"/>
      <c r="BL26" s="365"/>
      <c r="BN26" s="456" t="s">
        <v>157</v>
      </c>
      <c r="BO26" s="432"/>
      <c r="BP26" s="436"/>
      <c r="BQ26" s="476" t="s">
        <v>145</v>
      </c>
      <c r="BR26" s="429"/>
      <c r="BS26" s="430"/>
      <c r="BT26" s="490" t="s">
        <v>158</v>
      </c>
      <c r="BU26" s="429"/>
      <c r="BV26" s="430"/>
      <c r="BW26" s="446" t="s">
        <v>159</v>
      </c>
      <c r="BX26" s="429"/>
      <c r="BY26" s="430"/>
      <c r="BZ26" s="478" t="s">
        <v>274</v>
      </c>
      <c r="CA26" s="429"/>
      <c r="CB26" s="430"/>
      <c r="CC26"/>
      <c r="CD26" s="484"/>
      <c r="CE26" s="464"/>
      <c r="CF26" s="464"/>
      <c r="CG26" s="486"/>
      <c r="CH26" s="464"/>
      <c r="CI26" s="464"/>
      <c r="CJ26" s="487"/>
      <c r="CK26" s="464"/>
      <c r="CL26" s="464"/>
      <c r="CM26" s="487"/>
      <c r="CN26" s="464"/>
      <c r="CO26" s="464"/>
      <c r="CP26" s="488"/>
      <c r="CQ26" s="464"/>
      <c r="CR26" s="464"/>
    </row>
    <row r="27" spans="2:96" ht="18" customHeight="1">
      <c r="B27" s="355" t="s">
        <v>161</v>
      </c>
      <c r="C27" s="364"/>
      <c r="D27" s="364"/>
      <c r="E27" s="364"/>
      <c r="F27" s="364"/>
      <c r="G27" s="364"/>
      <c r="H27" s="364"/>
      <c r="I27" s="364"/>
      <c r="J27" s="364"/>
      <c r="K27" s="364"/>
      <c r="L27" s="364"/>
      <c r="M27" s="364"/>
      <c r="N27" s="364"/>
      <c r="O27" s="364"/>
      <c r="P27" s="364"/>
      <c r="R27" s="420"/>
      <c r="S27" s="365"/>
      <c r="T27" s="365"/>
      <c r="U27" s="365"/>
      <c r="V27" s="365"/>
      <c r="W27" s="365"/>
      <c r="X27" s="365"/>
      <c r="Y27" s="365"/>
      <c r="Z27" s="365"/>
      <c r="AA27" s="365"/>
      <c r="AB27" s="365"/>
      <c r="AC27" s="365"/>
      <c r="AD27" s="365"/>
      <c r="AE27" s="365"/>
      <c r="AF27" s="365"/>
      <c r="AH27" s="363" t="s">
        <v>236</v>
      </c>
      <c r="AI27" s="364"/>
      <c r="AJ27" s="364"/>
      <c r="AK27" s="364"/>
      <c r="AL27" s="364"/>
      <c r="AM27" s="364"/>
      <c r="AN27" s="364"/>
      <c r="AO27" s="364"/>
      <c r="AP27" s="364"/>
      <c r="AQ27" s="364"/>
      <c r="AR27" s="364"/>
      <c r="AS27" s="364"/>
      <c r="AT27" s="364"/>
      <c r="AU27" s="364"/>
      <c r="AV27" s="364"/>
      <c r="AX27" s="420"/>
      <c r="AY27" s="365"/>
      <c r="AZ27" s="365"/>
      <c r="BA27" s="365"/>
      <c r="BB27" s="365"/>
      <c r="BC27" s="365"/>
      <c r="BD27" s="365"/>
      <c r="BE27" s="365"/>
      <c r="BF27" s="365"/>
      <c r="BG27" s="365"/>
      <c r="BH27" s="365"/>
      <c r="BI27" s="365"/>
      <c r="BJ27" s="365"/>
      <c r="BK27" s="365"/>
      <c r="BL27" s="365"/>
      <c r="BN27" s="489" t="s">
        <v>275</v>
      </c>
      <c r="BO27" s="432"/>
      <c r="BP27" s="432"/>
      <c r="BQ27" s="432"/>
      <c r="BR27" s="432"/>
      <c r="BS27" s="432"/>
      <c r="BT27" s="432"/>
      <c r="BU27" s="432"/>
      <c r="BV27" s="432"/>
      <c r="BW27" s="432"/>
      <c r="BX27" s="432"/>
      <c r="BY27" s="432"/>
      <c r="BZ27" s="432"/>
      <c r="CA27" s="432"/>
      <c r="CB27" s="432"/>
      <c r="CC27"/>
      <c r="CD27" s="486"/>
      <c r="CE27" s="464"/>
      <c r="CF27" s="464"/>
      <c r="CG27" s="464"/>
      <c r="CH27" s="464"/>
      <c r="CI27" s="464"/>
      <c r="CJ27" s="464"/>
      <c r="CK27" s="464"/>
      <c r="CL27" s="464"/>
      <c r="CM27" s="464"/>
      <c r="CN27" s="464"/>
      <c r="CO27" s="464"/>
      <c r="CP27" s="464"/>
      <c r="CQ27" s="464"/>
      <c r="CR27" s="464"/>
    </row>
    <row r="28" spans="2:96" ht="14.45" customHeight="1">
      <c r="B28" s="365"/>
      <c r="C28" s="365"/>
      <c r="D28" s="365"/>
      <c r="E28" s="365"/>
      <c r="F28" s="365"/>
      <c r="G28" s="365"/>
      <c r="H28" s="365"/>
      <c r="I28" s="365"/>
      <c r="J28" s="365"/>
      <c r="K28" s="365"/>
      <c r="L28" s="365"/>
      <c r="M28" s="365"/>
      <c r="N28" s="365"/>
      <c r="O28" s="365"/>
      <c r="P28" s="365"/>
      <c r="R28" s="365"/>
      <c r="S28" s="365"/>
      <c r="T28" s="365"/>
      <c r="U28" s="365"/>
      <c r="V28" s="365"/>
      <c r="W28" s="365"/>
      <c r="X28" s="365"/>
      <c r="Y28" s="365"/>
      <c r="Z28" s="365"/>
      <c r="AA28" s="365"/>
      <c r="AB28" s="365"/>
      <c r="AC28" s="365"/>
      <c r="AD28" s="365"/>
      <c r="AE28" s="365"/>
      <c r="AF28" s="365"/>
      <c r="AH28" s="365"/>
      <c r="AI28" s="365"/>
      <c r="AJ28" s="365"/>
      <c r="AK28" s="365"/>
      <c r="AL28" s="365"/>
      <c r="AM28" s="365"/>
      <c r="AN28" s="365"/>
      <c r="AO28" s="365"/>
      <c r="AP28" s="365"/>
      <c r="AQ28" s="365"/>
      <c r="AR28" s="365"/>
      <c r="AS28" s="365"/>
      <c r="AT28" s="365"/>
      <c r="AU28" s="365"/>
      <c r="AV28" s="365"/>
      <c r="AX28" s="365"/>
      <c r="AY28" s="365"/>
      <c r="AZ28" s="365"/>
      <c r="BA28" s="365"/>
      <c r="BB28" s="365"/>
      <c r="BC28" s="365"/>
      <c r="BD28" s="365"/>
      <c r="BE28" s="365"/>
      <c r="BF28" s="365"/>
      <c r="BG28" s="365"/>
      <c r="BH28" s="365"/>
      <c r="BI28" s="365"/>
      <c r="BJ28" s="365"/>
      <c r="BK28" s="365"/>
      <c r="BL28" s="365"/>
      <c r="BN28" s="464"/>
      <c r="BO28" s="464"/>
      <c r="BP28" s="464"/>
      <c r="BQ28" s="464"/>
      <c r="BR28" s="464"/>
      <c r="BS28" s="464"/>
      <c r="BT28" s="464"/>
      <c r="BU28" s="464"/>
      <c r="BV28" s="464"/>
      <c r="BW28" s="464"/>
      <c r="BX28" s="464"/>
      <c r="BY28" s="464"/>
      <c r="BZ28" s="464"/>
      <c r="CA28" s="464"/>
      <c r="CB28" s="464"/>
      <c r="CC28"/>
      <c r="CD28" s="464"/>
      <c r="CE28" s="464"/>
      <c r="CF28" s="464"/>
      <c r="CG28" s="464"/>
      <c r="CH28" s="464"/>
      <c r="CI28" s="464"/>
      <c r="CJ28" s="464"/>
      <c r="CK28" s="464"/>
      <c r="CL28" s="464"/>
      <c r="CM28" s="464"/>
      <c r="CN28" s="464"/>
      <c r="CO28" s="464"/>
      <c r="CP28" s="464"/>
      <c r="CQ28" s="464"/>
      <c r="CR28" s="464"/>
    </row>
    <row r="29" spans="2:96" ht="14.45" customHeight="1" thickBot="1">
      <c r="B29" s="365"/>
      <c r="C29" s="365"/>
      <c r="D29" s="365"/>
      <c r="E29" s="365"/>
      <c r="F29" s="365"/>
      <c r="G29" s="365"/>
      <c r="H29" s="365"/>
      <c r="I29" s="365"/>
      <c r="J29" s="365"/>
      <c r="K29" s="365"/>
      <c r="L29" s="365"/>
      <c r="M29" s="365"/>
      <c r="N29" s="365"/>
      <c r="O29" s="365"/>
      <c r="P29" s="365"/>
      <c r="R29" s="365"/>
      <c r="S29" s="365"/>
      <c r="T29" s="365"/>
      <c r="U29" s="365"/>
      <c r="V29" s="365"/>
      <c r="W29" s="365"/>
      <c r="X29" s="365"/>
      <c r="Y29" s="365"/>
      <c r="Z29" s="365"/>
      <c r="AA29" s="365"/>
      <c r="AB29" s="365"/>
      <c r="AC29" s="365"/>
      <c r="AD29" s="365"/>
      <c r="AE29" s="365"/>
      <c r="AF29" s="365"/>
      <c r="AH29" s="365"/>
      <c r="AI29" s="365"/>
      <c r="AJ29" s="365"/>
      <c r="AK29" s="365"/>
      <c r="AL29" s="365"/>
      <c r="AM29" s="365"/>
      <c r="AN29" s="365"/>
      <c r="AO29" s="365"/>
      <c r="AP29" s="365"/>
      <c r="AQ29" s="365"/>
      <c r="AR29" s="365"/>
      <c r="AS29" s="365"/>
      <c r="AT29" s="365"/>
      <c r="AU29" s="365"/>
      <c r="AV29" s="365"/>
      <c r="AX29" s="365"/>
      <c r="AY29" s="365"/>
      <c r="AZ29" s="365"/>
      <c r="BA29" s="365"/>
      <c r="BB29" s="365"/>
      <c r="BC29" s="365"/>
      <c r="BD29" s="365"/>
      <c r="BE29" s="365"/>
      <c r="BF29" s="365"/>
      <c r="BG29" s="365"/>
      <c r="BH29" s="365"/>
      <c r="BI29" s="365"/>
      <c r="BJ29" s="365"/>
      <c r="BK29" s="365"/>
      <c r="BL29" s="365"/>
      <c r="BN29" s="464"/>
      <c r="BO29" s="464"/>
      <c r="BP29" s="464"/>
      <c r="BQ29" s="464"/>
      <c r="BR29" s="464"/>
      <c r="BS29" s="464"/>
      <c r="BT29" s="464"/>
      <c r="BU29" s="464"/>
      <c r="BV29" s="464"/>
      <c r="BW29" s="464"/>
      <c r="BX29" s="464"/>
      <c r="BY29" s="464"/>
      <c r="BZ29" s="464"/>
      <c r="CA29" s="464"/>
      <c r="CB29" s="464"/>
      <c r="CC29"/>
      <c r="CD29" s="464"/>
      <c r="CE29" s="464"/>
      <c r="CF29" s="464"/>
      <c r="CG29" s="464"/>
      <c r="CH29" s="464"/>
      <c r="CI29" s="464"/>
      <c r="CJ29" s="464"/>
      <c r="CK29" s="464"/>
      <c r="CL29" s="464"/>
      <c r="CM29" s="464"/>
      <c r="CN29" s="464"/>
      <c r="CO29" s="464"/>
      <c r="CP29" s="464"/>
      <c r="CQ29" s="464"/>
      <c r="CR29" s="464"/>
    </row>
    <row r="30" spans="2:96" ht="27" thickBot="1">
      <c r="BN30" s="496" t="s">
        <v>276</v>
      </c>
      <c r="BO30" s="429"/>
      <c r="BP30" s="430"/>
      <c r="BQ30" s="433" t="s">
        <v>141</v>
      </c>
      <c r="BR30" s="429"/>
      <c r="BS30" s="429"/>
      <c r="BT30" s="429"/>
      <c r="BU30" s="429"/>
      <c r="BV30" s="429"/>
      <c r="BW30" s="429"/>
      <c r="BX30" s="429"/>
      <c r="BY30" s="429"/>
      <c r="BZ30" s="429"/>
      <c r="CA30" s="429"/>
      <c r="CB30" s="430"/>
      <c r="CC30"/>
      <c r="CD30" s="484"/>
      <c r="CE30" s="464"/>
      <c r="CF30" s="464"/>
      <c r="CG30" s="485"/>
      <c r="CH30" s="464"/>
      <c r="CI30" s="464"/>
      <c r="CJ30" s="464"/>
      <c r="CK30" s="464"/>
      <c r="CL30" s="464"/>
      <c r="CM30" s="464"/>
      <c r="CN30" s="464"/>
      <c r="CO30" s="464"/>
      <c r="CP30" s="464"/>
      <c r="CQ30" s="464"/>
      <c r="CR30" s="464"/>
    </row>
    <row r="31" spans="2:96" ht="27" thickBot="1">
      <c r="BN31" s="431" t="s">
        <v>114</v>
      </c>
      <c r="BO31" s="432"/>
      <c r="BP31" s="432"/>
      <c r="BQ31" s="433" t="s">
        <v>142</v>
      </c>
      <c r="BR31" s="429"/>
      <c r="BS31" s="430"/>
      <c r="BT31" s="433" t="s">
        <v>143</v>
      </c>
      <c r="BU31" s="429"/>
      <c r="BV31" s="430"/>
      <c r="BW31" s="433" t="s">
        <v>117</v>
      </c>
      <c r="BX31" s="429"/>
      <c r="BY31" s="430"/>
      <c r="BZ31" s="433" t="s">
        <v>118</v>
      </c>
      <c r="CA31" s="429"/>
      <c r="CB31" s="430"/>
      <c r="CC31"/>
      <c r="CD31" s="484"/>
      <c r="CE31" s="464"/>
      <c r="CF31" s="464"/>
      <c r="CG31" s="485"/>
      <c r="CH31" s="464"/>
      <c r="CI31" s="464"/>
      <c r="CJ31" s="485"/>
      <c r="CK31" s="464"/>
      <c r="CL31" s="464"/>
      <c r="CM31" s="485"/>
      <c r="CN31" s="464"/>
      <c r="CO31" s="464"/>
      <c r="CP31" s="485"/>
      <c r="CQ31" s="464"/>
      <c r="CR31" s="464"/>
    </row>
    <row r="32" spans="2:96" ht="27" thickBot="1">
      <c r="BN32" s="491" t="s">
        <v>277</v>
      </c>
      <c r="BO32" s="432"/>
      <c r="BP32" s="436"/>
      <c r="BQ32" s="492" t="s">
        <v>278</v>
      </c>
      <c r="BR32" s="432"/>
      <c r="BS32" s="436"/>
      <c r="BT32" s="490" t="s">
        <v>158</v>
      </c>
      <c r="BU32" s="429"/>
      <c r="BV32" s="430"/>
      <c r="BW32" s="446" t="s">
        <v>279</v>
      </c>
      <c r="BX32" s="429"/>
      <c r="BY32" s="430"/>
      <c r="BZ32" s="495" t="s">
        <v>280</v>
      </c>
      <c r="CA32" s="432"/>
      <c r="CB32" s="436"/>
      <c r="CC32"/>
      <c r="CD32" s="484"/>
      <c r="CE32" s="464"/>
      <c r="CF32" s="464"/>
      <c r="CG32" s="486"/>
      <c r="CH32" s="464"/>
      <c r="CI32" s="464"/>
      <c r="CJ32" s="487"/>
      <c r="CK32" s="464"/>
      <c r="CL32" s="464"/>
      <c r="CM32" s="487"/>
      <c r="CN32" s="464"/>
      <c r="CO32" s="464"/>
      <c r="CP32" s="488"/>
      <c r="CQ32" s="464"/>
      <c r="CR32" s="464"/>
    </row>
    <row r="33" spans="66:96" ht="27" thickBot="1">
      <c r="BN33" s="491" t="s">
        <v>281</v>
      </c>
      <c r="BO33" s="432"/>
      <c r="BP33" s="436"/>
      <c r="BQ33" s="493"/>
      <c r="BR33" s="464"/>
      <c r="BS33" s="494"/>
      <c r="BT33" s="490" t="s">
        <v>282</v>
      </c>
      <c r="BU33" s="429"/>
      <c r="BV33" s="430"/>
      <c r="BW33" s="446" t="s">
        <v>279</v>
      </c>
      <c r="BX33" s="429"/>
      <c r="BY33" s="430"/>
      <c r="BZ33" s="493"/>
      <c r="CA33" s="464"/>
      <c r="CB33" s="494"/>
      <c r="CC33"/>
      <c r="CD33" s="484"/>
      <c r="CE33" s="464"/>
      <c r="CF33" s="464"/>
      <c r="CG33" s="486"/>
      <c r="CH33" s="464"/>
      <c r="CI33" s="464"/>
      <c r="CJ33" s="487"/>
      <c r="CK33" s="464"/>
      <c r="CL33" s="464"/>
      <c r="CM33" s="487"/>
      <c r="CN33" s="464"/>
      <c r="CO33" s="464"/>
      <c r="CP33" s="488"/>
      <c r="CQ33" s="464"/>
      <c r="CR33" s="464"/>
    </row>
    <row r="34" spans="66:96" ht="27" thickBot="1">
      <c r="BN34" s="497" t="s">
        <v>283</v>
      </c>
      <c r="BO34" s="429"/>
      <c r="BP34" s="430"/>
      <c r="BQ34" s="447"/>
      <c r="BR34" s="450"/>
      <c r="BS34" s="448"/>
      <c r="BT34" s="490" t="s">
        <v>284</v>
      </c>
      <c r="BU34" s="429"/>
      <c r="BV34" s="430"/>
      <c r="BW34" s="446" t="s">
        <v>279</v>
      </c>
      <c r="BX34" s="429"/>
      <c r="BY34" s="430"/>
      <c r="BZ34" s="447"/>
      <c r="CA34" s="450"/>
      <c r="CB34" s="448"/>
      <c r="CC34"/>
      <c r="CD34" s="484"/>
      <c r="CE34" s="464"/>
      <c r="CF34" s="464"/>
      <c r="CG34" s="486"/>
      <c r="CH34" s="464"/>
      <c r="CI34" s="464"/>
      <c r="CJ34" s="487"/>
      <c r="CK34" s="464"/>
      <c r="CL34" s="464"/>
      <c r="CM34" s="487"/>
      <c r="CN34" s="464"/>
      <c r="CO34" s="464"/>
      <c r="CP34" s="488"/>
      <c r="CQ34" s="464"/>
      <c r="CR34" s="464"/>
    </row>
    <row r="35" spans="66:96"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</row>
    <row r="36" spans="66:96">
      <c r="BN36" s="483" t="s">
        <v>285</v>
      </c>
      <c r="BO36" s="464"/>
      <c r="BP36" s="464"/>
      <c r="BQ36" s="464"/>
      <c r="BR36" s="464"/>
      <c r="BS36" s="464"/>
      <c r="BT36" s="464"/>
      <c r="BU36" s="464"/>
      <c r="BV36" s="464"/>
      <c r="BW36" s="464"/>
      <c r="BX36" s="464"/>
      <c r="BY36" s="464"/>
      <c r="BZ36" s="464"/>
      <c r="CA36" s="464"/>
      <c r="CB36" s="464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</row>
    <row r="37" spans="66:96">
      <c r="BN37" s="464"/>
      <c r="BO37" s="464"/>
      <c r="BP37" s="464"/>
      <c r="BQ37" s="464"/>
      <c r="BR37" s="464"/>
      <c r="BS37" s="464"/>
      <c r="BT37" s="464"/>
      <c r="BU37" s="464"/>
      <c r="BV37" s="464"/>
      <c r="BW37" s="464"/>
      <c r="BX37" s="464"/>
      <c r="BY37" s="464"/>
      <c r="BZ37" s="464"/>
      <c r="CA37" s="464"/>
      <c r="CB37" s="464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</row>
    <row r="38" spans="66:96">
      <c r="BN38" s="464"/>
      <c r="BO38" s="464"/>
      <c r="BP38" s="464"/>
      <c r="BQ38" s="464"/>
      <c r="BR38" s="464"/>
      <c r="BS38" s="464"/>
      <c r="BT38" s="464"/>
      <c r="BU38" s="464"/>
      <c r="BV38" s="464"/>
      <c r="BW38" s="464"/>
      <c r="BX38" s="464"/>
      <c r="BY38" s="464"/>
      <c r="BZ38" s="464"/>
      <c r="CA38" s="464"/>
      <c r="CB38" s="464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</row>
  </sheetData>
  <mergeCells count="437">
    <mergeCell ref="BN36:CB38"/>
    <mergeCell ref="BN2:CR2"/>
    <mergeCell ref="CM33:CO33"/>
    <mergeCell ref="CP33:CR33"/>
    <mergeCell ref="BN34:BP34"/>
    <mergeCell ref="BT34:BV34"/>
    <mergeCell ref="BW34:BY34"/>
    <mergeCell ref="CD34:CF34"/>
    <mergeCell ref="CG34:CI34"/>
    <mergeCell ref="CJ34:CL34"/>
    <mergeCell ref="CM34:CO34"/>
    <mergeCell ref="CP34:CR34"/>
    <mergeCell ref="CG32:CI32"/>
    <mergeCell ref="CJ32:CL32"/>
    <mergeCell ref="CM32:CO32"/>
    <mergeCell ref="CP32:CR32"/>
    <mergeCell ref="BN33:BP33"/>
    <mergeCell ref="BT33:BV33"/>
    <mergeCell ref="BW33:BY33"/>
    <mergeCell ref="CD33:CF33"/>
    <mergeCell ref="CG33:CI33"/>
    <mergeCell ref="CJ33:CL33"/>
    <mergeCell ref="CG31:CI31"/>
    <mergeCell ref="CJ31:CL31"/>
    <mergeCell ref="CM31:CO31"/>
    <mergeCell ref="CP31:CR31"/>
    <mergeCell ref="BN32:BP32"/>
    <mergeCell ref="BQ32:BS34"/>
    <mergeCell ref="BT32:BV32"/>
    <mergeCell ref="BW32:BY32"/>
    <mergeCell ref="BZ32:CB34"/>
    <mergeCell ref="CD32:CF32"/>
    <mergeCell ref="BN30:BP30"/>
    <mergeCell ref="BQ30:CB30"/>
    <mergeCell ref="CD30:CF30"/>
    <mergeCell ref="CG30:CR30"/>
    <mergeCell ref="BN31:BP31"/>
    <mergeCell ref="BQ31:BS31"/>
    <mergeCell ref="BT31:BV31"/>
    <mergeCell ref="BW31:BY31"/>
    <mergeCell ref="BZ31:CB31"/>
    <mergeCell ref="CD31:CF31"/>
    <mergeCell ref="CG26:CI26"/>
    <mergeCell ref="CJ26:CL26"/>
    <mergeCell ref="CM26:CO26"/>
    <mergeCell ref="CP26:CR26"/>
    <mergeCell ref="BN27:CB29"/>
    <mergeCell ref="CD27:CR29"/>
    <mergeCell ref="CG25:CI25"/>
    <mergeCell ref="CJ25:CL25"/>
    <mergeCell ref="CM25:CO25"/>
    <mergeCell ref="CP25:CR25"/>
    <mergeCell ref="BN26:BP26"/>
    <mergeCell ref="BQ26:BS26"/>
    <mergeCell ref="BT26:BV26"/>
    <mergeCell ref="BW26:BY26"/>
    <mergeCell ref="BZ26:CB26"/>
    <mergeCell ref="CD26:CF26"/>
    <mergeCell ref="BN25:BP25"/>
    <mergeCell ref="BQ25:BS25"/>
    <mergeCell ref="BT25:BV25"/>
    <mergeCell ref="BW25:BY25"/>
    <mergeCell ref="BZ25:CB25"/>
    <mergeCell ref="CD25:CF25"/>
    <mergeCell ref="BN20:CB23"/>
    <mergeCell ref="CD20:CR23"/>
    <mergeCell ref="BN24:BP24"/>
    <mergeCell ref="BQ24:CB24"/>
    <mergeCell ref="CD24:CF24"/>
    <mergeCell ref="CG24:CR24"/>
    <mergeCell ref="CM18:CO18"/>
    <mergeCell ref="CP18:CR18"/>
    <mergeCell ref="BQ19:BS19"/>
    <mergeCell ref="BT19:BV19"/>
    <mergeCell ref="BW19:BY19"/>
    <mergeCell ref="BZ19:CB19"/>
    <mergeCell ref="CG19:CI19"/>
    <mergeCell ref="CJ19:CL19"/>
    <mergeCell ref="CM19:CO19"/>
    <mergeCell ref="CP19:CR19"/>
    <mergeCell ref="BN17:BP19"/>
    <mergeCell ref="BQ17:BS17"/>
    <mergeCell ref="BT17:BV17"/>
    <mergeCell ref="BW17:BY17"/>
    <mergeCell ref="BZ17:CB17"/>
    <mergeCell ref="CG17:CI17"/>
    <mergeCell ref="CJ17:CL17"/>
    <mergeCell ref="CM17:CO17"/>
    <mergeCell ref="CP17:CR17"/>
    <mergeCell ref="BQ18:BS18"/>
    <mergeCell ref="BT18:BV18"/>
    <mergeCell ref="BW18:BY18"/>
    <mergeCell ref="BZ18:CB18"/>
    <mergeCell ref="CG18:CI18"/>
    <mergeCell ref="CJ18:CL18"/>
    <mergeCell ref="BN15:BP15"/>
    <mergeCell ref="BQ15:CB15"/>
    <mergeCell ref="CD15:CF15"/>
    <mergeCell ref="CG15:CR15"/>
    <mergeCell ref="BN16:BP16"/>
    <mergeCell ref="BQ16:BS16"/>
    <mergeCell ref="BT16:BV16"/>
    <mergeCell ref="BW16:BY16"/>
    <mergeCell ref="BZ16:CB16"/>
    <mergeCell ref="CD16:CF16"/>
    <mergeCell ref="CG16:CI16"/>
    <mergeCell ref="CJ16:CL16"/>
    <mergeCell ref="CM16:CO16"/>
    <mergeCell ref="CP16:CR16"/>
    <mergeCell ref="CE8:CF9"/>
    <mergeCell ref="CG8:CH9"/>
    <mergeCell ref="CI8:CJ9"/>
    <mergeCell ref="CK8:CL9"/>
    <mergeCell ref="CM8:CN9"/>
    <mergeCell ref="CC12:CD12"/>
    <mergeCell ref="BN13:BP13"/>
    <mergeCell ref="BQ13:BR13"/>
    <mergeCell ref="BS13:BT13"/>
    <mergeCell ref="BU13:BV13"/>
    <mergeCell ref="BW13:BX13"/>
    <mergeCell ref="BY13:BZ13"/>
    <mergeCell ref="CA13:CB13"/>
    <mergeCell ref="CC13:CD13"/>
    <mergeCell ref="CF13:CH13"/>
    <mergeCell ref="BN11:BP11"/>
    <mergeCell ref="BN12:BP12"/>
    <mergeCell ref="BQ12:BR12"/>
    <mergeCell ref="BS12:BT12"/>
    <mergeCell ref="BU12:BV12"/>
    <mergeCell ref="BW12:BX12"/>
    <mergeCell ref="BY12:BZ12"/>
    <mergeCell ref="CA12:CB12"/>
    <mergeCell ref="CC8:CD9"/>
    <mergeCell ref="CM6:CN7"/>
    <mergeCell ref="CO6:CP7"/>
    <mergeCell ref="CQ6:CR7"/>
    <mergeCell ref="BN8:BP9"/>
    <mergeCell ref="BQ8:BR9"/>
    <mergeCell ref="BS8:BT9"/>
    <mergeCell ref="BU8:BV9"/>
    <mergeCell ref="BW8:BX9"/>
    <mergeCell ref="BY8:BZ9"/>
    <mergeCell ref="CA8:CB9"/>
    <mergeCell ref="CA6:CB7"/>
    <mergeCell ref="CC6:CD7"/>
    <mergeCell ref="CE6:CF7"/>
    <mergeCell ref="CG6:CH7"/>
    <mergeCell ref="CI6:CJ7"/>
    <mergeCell ref="CK6:CL7"/>
    <mergeCell ref="BN6:BP7"/>
    <mergeCell ref="BQ6:BR7"/>
    <mergeCell ref="BS6:BT7"/>
    <mergeCell ref="BU6:BV7"/>
    <mergeCell ref="BW6:BX7"/>
    <mergeCell ref="BY6:BZ7"/>
    <mergeCell ref="CO8:CP9"/>
    <mergeCell ref="CQ8:CR9"/>
    <mergeCell ref="CG5:CH5"/>
    <mergeCell ref="CI5:CJ5"/>
    <mergeCell ref="CK5:CL5"/>
    <mergeCell ref="CM5:CN5"/>
    <mergeCell ref="CO5:CP5"/>
    <mergeCell ref="CQ5:CR5"/>
    <mergeCell ref="BU5:BV5"/>
    <mergeCell ref="BW5:BX5"/>
    <mergeCell ref="BY5:BZ5"/>
    <mergeCell ref="CA5:CB5"/>
    <mergeCell ref="CC5:CD5"/>
    <mergeCell ref="CE5:CF5"/>
    <mergeCell ref="AH2:BL2"/>
    <mergeCell ref="BN4:BP4"/>
    <mergeCell ref="BN5:BP5"/>
    <mergeCell ref="BQ5:BR5"/>
    <mergeCell ref="BS5:BT5"/>
    <mergeCell ref="BA26:BC26"/>
    <mergeCell ref="BD26:BF26"/>
    <mergeCell ref="BG26:BI26"/>
    <mergeCell ref="BJ26:BL26"/>
    <mergeCell ref="AH20:AV23"/>
    <mergeCell ref="AX20:BL23"/>
    <mergeCell ref="AH24:AJ24"/>
    <mergeCell ref="AK24:AV24"/>
    <mergeCell ref="AX24:AZ24"/>
    <mergeCell ref="BA24:BL24"/>
    <mergeCell ref="BG18:BI18"/>
    <mergeCell ref="BJ18:BL18"/>
    <mergeCell ref="AK19:AM19"/>
    <mergeCell ref="AN19:AP19"/>
    <mergeCell ref="AQ19:AS19"/>
    <mergeCell ref="AT19:AV19"/>
    <mergeCell ref="BA19:BC19"/>
    <mergeCell ref="BD19:BF19"/>
    <mergeCell ref="BG19:BI19"/>
    <mergeCell ref="AH27:AV29"/>
    <mergeCell ref="AX27:BL29"/>
    <mergeCell ref="BA25:BC25"/>
    <mergeCell ref="BD25:BF25"/>
    <mergeCell ref="BG25:BI25"/>
    <mergeCell ref="BJ25:BL25"/>
    <mergeCell ref="AH26:AJ26"/>
    <mergeCell ref="AK26:AM26"/>
    <mergeCell ref="AN26:AP26"/>
    <mergeCell ref="AQ26:AS26"/>
    <mergeCell ref="AT26:AV26"/>
    <mergeCell ref="AX26:AZ26"/>
    <mergeCell ref="AH25:AJ25"/>
    <mergeCell ref="AK25:AM25"/>
    <mergeCell ref="AN25:AP25"/>
    <mergeCell ref="AQ25:AS25"/>
    <mergeCell ref="AT25:AV25"/>
    <mergeCell ref="AX25:AZ25"/>
    <mergeCell ref="AH17:AJ19"/>
    <mergeCell ref="AK17:AM17"/>
    <mergeCell ref="AN17:AP17"/>
    <mergeCell ref="AQ17:AS17"/>
    <mergeCell ref="AT17:AV17"/>
    <mergeCell ref="BJ19:BL19"/>
    <mergeCell ref="BA17:BC17"/>
    <mergeCell ref="BD17:BF17"/>
    <mergeCell ref="BG17:BI17"/>
    <mergeCell ref="BJ17:BL17"/>
    <mergeCell ref="AK18:AM18"/>
    <mergeCell ref="AN18:AP18"/>
    <mergeCell ref="AQ18:AS18"/>
    <mergeCell ref="AT18:AV18"/>
    <mergeCell ref="BA18:BC18"/>
    <mergeCell ref="BD18:BF18"/>
    <mergeCell ref="AH15:AJ15"/>
    <mergeCell ref="AK15:AV15"/>
    <mergeCell ref="AX15:AZ15"/>
    <mergeCell ref="BA15:BL15"/>
    <mergeCell ref="AH16:AJ16"/>
    <mergeCell ref="AK16:AM16"/>
    <mergeCell ref="AN16:AP16"/>
    <mergeCell ref="AQ16:AS16"/>
    <mergeCell ref="AT16:AV16"/>
    <mergeCell ref="AX16:AZ16"/>
    <mergeCell ref="BA16:BC16"/>
    <mergeCell ref="BD16:BF16"/>
    <mergeCell ref="BG16:BI16"/>
    <mergeCell ref="BJ16:BL16"/>
    <mergeCell ref="AH13:AJ13"/>
    <mergeCell ref="AK13:AL13"/>
    <mergeCell ref="AM13:AN13"/>
    <mergeCell ref="AO13:AP13"/>
    <mergeCell ref="AQ13:AR13"/>
    <mergeCell ref="AS13:AT13"/>
    <mergeCell ref="AU13:AV13"/>
    <mergeCell ref="AW13:AX13"/>
    <mergeCell ref="AZ13:BB13"/>
    <mergeCell ref="BI8:BJ9"/>
    <mergeCell ref="BK8:BL9"/>
    <mergeCell ref="AH11:AJ11"/>
    <mergeCell ref="AH12:AJ12"/>
    <mergeCell ref="AK12:AL12"/>
    <mergeCell ref="AM12:AN12"/>
    <mergeCell ref="AO12:AP12"/>
    <mergeCell ref="AQ12:AR12"/>
    <mergeCell ref="AS12:AT12"/>
    <mergeCell ref="AU12:AV12"/>
    <mergeCell ref="AW8:AX9"/>
    <mergeCell ref="AY8:AZ9"/>
    <mergeCell ref="BA8:BB9"/>
    <mergeCell ref="BC8:BD9"/>
    <mergeCell ref="BE8:BF9"/>
    <mergeCell ref="BG8:BH9"/>
    <mergeCell ref="AW12:AX12"/>
    <mergeCell ref="AH8:AJ9"/>
    <mergeCell ref="AK8:AL9"/>
    <mergeCell ref="AM8:AN9"/>
    <mergeCell ref="AO8:AP9"/>
    <mergeCell ref="AQ8:AR9"/>
    <mergeCell ref="AS8:AT9"/>
    <mergeCell ref="AU8:AV9"/>
    <mergeCell ref="AU6:AV7"/>
    <mergeCell ref="AW6:AX7"/>
    <mergeCell ref="BE5:BF5"/>
    <mergeCell ref="BG5:BH5"/>
    <mergeCell ref="BI5:BJ5"/>
    <mergeCell ref="BK5:BL5"/>
    <mergeCell ref="AH6:AJ7"/>
    <mergeCell ref="AK6:AL7"/>
    <mergeCell ref="AM6:AN7"/>
    <mergeCell ref="AO6:AP7"/>
    <mergeCell ref="AQ6:AR7"/>
    <mergeCell ref="AS6:AT7"/>
    <mergeCell ref="AS5:AT5"/>
    <mergeCell ref="AU5:AV5"/>
    <mergeCell ref="AW5:AX5"/>
    <mergeCell ref="AY5:AZ5"/>
    <mergeCell ref="BA5:BB5"/>
    <mergeCell ref="BC5:BD5"/>
    <mergeCell ref="BG6:BH7"/>
    <mergeCell ref="BI6:BJ7"/>
    <mergeCell ref="BK6:BL7"/>
    <mergeCell ref="AY6:AZ7"/>
    <mergeCell ref="BA6:BB7"/>
    <mergeCell ref="BC6:BD7"/>
    <mergeCell ref="BE6:BF7"/>
    <mergeCell ref="AH4:AJ4"/>
    <mergeCell ref="AH5:AJ5"/>
    <mergeCell ref="AK5:AL5"/>
    <mergeCell ref="AM5:AN5"/>
    <mergeCell ref="AO5:AP5"/>
    <mergeCell ref="AQ5:AR5"/>
    <mergeCell ref="U26:W26"/>
    <mergeCell ref="X26:Z26"/>
    <mergeCell ref="AA26:AC26"/>
    <mergeCell ref="AD26:AF26"/>
    <mergeCell ref="X17:Z17"/>
    <mergeCell ref="AA17:AC17"/>
    <mergeCell ref="AD17:AF17"/>
    <mergeCell ref="U16:W16"/>
    <mergeCell ref="X16:Z16"/>
    <mergeCell ref="AA16:AC16"/>
    <mergeCell ref="AD16:AF16"/>
    <mergeCell ref="U8:V9"/>
    <mergeCell ref="W8:X9"/>
    <mergeCell ref="Y8:Z9"/>
    <mergeCell ref="AA8:AB9"/>
    <mergeCell ref="AC8:AD9"/>
    <mergeCell ref="AE8:AF9"/>
    <mergeCell ref="U6:V7"/>
    <mergeCell ref="B27:P29"/>
    <mergeCell ref="R27:AF29"/>
    <mergeCell ref="U25:W25"/>
    <mergeCell ref="X25:Z25"/>
    <mergeCell ref="AA25:AC25"/>
    <mergeCell ref="AD25:AF25"/>
    <mergeCell ref="B26:D26"/>
    <mergeCell ref="E26:G26"/>
    <mergeCell ref="H26:J26"/>
    <mergeCell ref="K26:M26"/>
    <mergeCell ref="N26:P26"/>
    <mergeCell ref="R26:T26"/>
    <mergeCell ref="B25:D25"/>
    <mergeCell ref="E25:G25"/>
    <mergeCell ref="H25:J25"/>
    <mergeCell ref="K25:M25"/>
    <mergeCell ref="N25:P25"/>
    <mergeCell ref="R25:T25"/>
    <mergeCell ref="B20:P23"/>
    <mergeCell ref="R20:AF23"/>
    <mergeCell ref="B24:D24"/>
    <mergeCell ref="E24:P24"/>
    <mergeCell ref="R24:T24"/>
    <mergeCell ref="U24:AF24"/>
    <mergeCell ref="AD18:AF18"/>
    <mergeCell ref="E19:G19"/>
    <mergeCell ref="H19:J19"/>
    <mergeCell ref="K19:M19"/>
    <mergeCell ref="N19:P19"/>
    <mergeCell ref="U19:W19"/>
    <mergeCell ref="X19:Z19"/>
    <mergeCell ref="AA19:AC19"/>
    <mergeCell ref="AD19:AF19"/>
    <mergeCell ref="E18:G18"/>
    <mergeCell ref="H18:J18"/>
    <mergeCell ref="K18:M18"/>
    <mergeCell ref="N18:P18"/>
    <mergeCell ref="U18:W18"/>
    <mergeCell ref="X18:Z18"/>
    <mergeCell ref="AA18:AC18"/>
    <mergeCell ref="B17:D19"/>
    <mergeCell ref="E17:G17"/>
    <mergeCell ref="H17:J17"/>
    <mergeCell ref="K17:M17"/>
    <mergeCell ref="N17:P17"/>
    <mergeCell ref="U17:W17"/>
    <mergeCell ref="B16:D16"/>
    <mergeCell ref="E16:G16"/>
    <mergeCell ref="H16:J16"/>
    <mergeCell ref="K16:M16"/>
    <mergeCell ref="N16:P16"/>
    <mergeCell ref="R16:T16"/>
    <mergeCell ref="O13:P13"/>
    <mergeCell ref="Q13:R13"/>
    <mergeCell ref="T13:V13"/>
    <mergeCell ref="B15:D15"/>
    <mergeCell ref="E15:P15"/>
    <mergeCell ref="R15:T15"/>
    <mergeCell ref="U15:AF15"/>
    <mergeCell ref="B13:D13"/>
    <mergeCell ref="E13:F13"/>
    <mergeCell ref="G13:H13"/>
    <mergeCell ref="I13:J13"/>
    <mergeCell ref="K13:L13"/>
    <mergeCell ref="M13:N13"/>
    <mergeCell ref="B11:D11"/>
    <mergeCell ref="B12:D12"/>
    <mergeCell ref="E12:F12"/>
    <mergeCell ref="G12:H12"/>
    <mergeCell ref="I12:J12"/>
    <mergeCell ref="K12:L12"/>
    <mergeCell ref="M12:N12"/>
    <mergeCell ref="O12:P12"/>
    <mergeCell ref="Q12:R12"/>
    <mergeCell ref="B8:D9"/>
    <mergeCell ref="E8:F9"/>
    <mergeCell ref="G8:H9"/>
    <mergeCell ref="I8:J9"/>
    <mergeCell ref="K8:L9"/>
    <mergeCell ref="M8:N9"/>
    <mergeCell ref="O8:P9"/>
    <mergeCell ref="Q8:R9"/>
    <mergeCell ref="S8:T9"/>
    <mergeCell ref="W6:X7"/>
    <mergeCell ref="Y6:Z7"/>
    <mergeCell ref="AA6:AB7"/>
    <mergeCell ref="AC6:AD7"/>
    <mergeCell ref="AE6:AF7"/>
    <mergeCell ref="AE5:AF5"/>
    <mergeCell ref="B6:D7"/>
    <mergeCell ref="E6:F7"/>
    <mergeCell ref="G6:H7"/>
    <mergeCell ref="I6:J7"/>
    <mergeCell ref="K6:L7"/>
    <mergeCell ref="M6:N7"/>
    <mergeCell ref="O6:P7"/>
    <mergeCell ref="Q6:R7"/>
    <mergeCell ref="S6:T7"/>
    <mergeCell ref="S5:T5"/>
    <mergeCell ref="U5:V5"/>
    <mergeCell ref="W5:X5"/>
    <mergeCell ref="Y5:Z5"/>
    <mergeCell ref="AA5:AB5"/>
    <mergeCell ref="AC5:AD5"/>
    <mergeCell ref="B2:AF2"/>
    <mergeCell ref="B4:D4"/>
    <mergeCell ref="B5:D5"/>
    <mergeCell ref="E5:F5"/>
    <mergeCell ref="G5:H5"/>
    <mergeCell ref="I5:J5"/>
    <mergeCell ref="K5:L5"/>
    <mergeCell ref="M5:N5"/>
    <mergeCell ref="O5:P5"/>
    <mergeCell ref="Q5:R5"/>
  </mergeCells>
  <pageMargins left="0.7" right="0.7" top="0.75" bottom="0.75" header="0.3" footer="0.3"/>
  <pageSetup paperSize="9" scale="52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4AD2-3D18-4194-91AD-5E7675AA4C9F}">
  <sheetPr>
    <tabColor rgb="FF92D050"/>
    <pageSetUpPr fitToPage="1"/>
  </sheetPr>
  <dimension ref="A1:AZ96"/>
  <sheetViews>
    <sheetView showGridLines="0" zoomScale="55" zoomScaleNormal="55" workbookViewId="0">
      <selection activeCell="AJ11" sqref="AJ11"/>
    </sheetView>
  </sheetViews>
  <sheetFormatPr defaultColWidth="9.140625" defaultRowHeight="15.75"/>
  <cols>
    <col min="1" max="1" width="56" style="22" customWidth="1"/>
    <col min="2" max="2" width="9.28515625" style="22" bestFit="1" customWidth="1"/>
    <col min="3" max="5" width="8.42578125" style="22" bestFit="1" customWidth="1"/>
    <col min="6" max="6" width="23.5703125" style="22" bestFit="1" customWidth="1"/>
    <col min="7" max="7" width="22.7109375" style="22" customWidth="1"/>
    <col min="8" max="9" width="9.140625" style="22" customWidth="1"/>
    <col min="10" max="10" width="6.140625" style="22" bestFit="1" customWidth="1"/>
    <col min="11" max="12" width="9.140625" style="22" customWidth="1"/>
    <col min="13" max="14" width="9.28515625" style="22" bestFit="1" customWidth="1"/>
    <col min="15" max="16" width="10.5703125" style="22" bestFit="1" customWidth="1"/>
    <col min="17" max="18" width="23.5703125" style="22" bestFit="1" customWidth="1"/>
    <col min="19" max="19" width="9.42578125" style="22" bestFit="1" customWidth="1"/>
    <col min="20" max="20" width="9.140625" style="22" customWidth="1"/>
    <col min="21" max="22" width="6.140625" style="22" bestFit="1" customWidth="1"/>
    <col min="23" max="23" width="9.140625" style="22" customWidth="1"/>
    <col min="24" max="27" width="10.5703125" style="22" bestFit="1" customWidth="1"/>
    <col min="28" max="28" width="23.5703125" style="22" bestFit="1" customWidth="1"/>
    <col min="29" max="29" width="8.5703125" style="22" bestFit="1" customWidth="1"/>
    <col min="30" max="30" width="6.85546875" style="22" bestFit="1" customWidth="1"/>
    <col min="31" max="48" width="9.140625" style="22" customWidth="1"/>
    <col min="49" max="49" width="9.140625" style="23" customWidth="1"/>
    <col min="50" max="16384" width="9.140625" style="23"/>
  </cols>
  <sheetData>
    <row r="1" spans="1:30" s="22" customFormat="1">
      <c r="J1" s="53"/>
    </row>
    <row r="2" spans="1:30" s="20" customFormat="1" ht="27.6" customHeight="1">
      <c r="A2" s="82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30" s="22" customFormat="1" ht="20.25" customHeight="1">
      <c r="B3" s="315">
        <v>2022</v>
      </c>
      <c r="C3" s="315"/>
      <c r="D3" s="315"/>
      <c r="E3" s="315"/>
      <c r="F3" s="315"/>
      <c r="G3" s="315"/>
      <c r="H3" s="21"/>
      <c r="I3" s="21"/>
      <c r="J3" s="83"/>
      <c r="K3" s="21"/>
      <c r="M3" s="315">
        <v>2023</v>
      </c>
      <c r="N3" s="315"/>
      <c r="O3" s="315"/>
      <c r="P3" s="315"/>
      <c r="Q3" s="315"/>
      <c r="R3" s="315"/>
      <c r="X3" s="315">
        <v>2024</v>
      </c>
      <c r="Y3" s="315"/>
      <c r="Z3" s="315"/>
      <c r="AA3" s="315"/>
      <c r="AB3" s="315"/>
      <c r="AC3" s="315"/>
    </row>
    <row r="4" spans="1:30" s="22" customFormat="1" ht="21.75" customHeight="1" thickBot="1"/>
    <row r="5" spans="1:30" s="22" customFormat="1" ht="27" customHeight="1" thickTop="1">
      <c r="A5" s="84" t="s">
        <v>162</v>
      </c>
      <c r="B5" s="85" t="s">
        <v>163</v>
      </c>
      <c r="C5" s="85" t="s">
        <v>63</v>
      </c>
      <c r="D5" s="85" t="s">
        <v>64</v>
      </c>
      <c r="E5" s="85" t="s">
        <v>65</v>
      </c>
      <c r="F5" s="85" t="s">
        <v>38</v>
      </c>
      <c r="G5" s="85" t="s">
        <v>14</v>
      </c>
      <c r="J5" s="53"/>
      <c r="M5" s="85" t="s">
        <v>163</v>
      </c>
      <c r="N5" s="85" t="s">
        <v>63</v>
      </c>
      <c r="O5" s="85" t="s">
        <v>64</v>
      </c>
      <c r="P5" s="85" t="s">
        <v>65</v>
      </c>
      <c r="Q5" s="86" t="s">
        <v>66</v>
      </c>
      <c r="R5" s="2" t="s">
        <v>38</v>
      </c>
      <c r="S5" s="49" t="s">
        <v>14</v>
      </c>
      <c r="V5" s="53"/>
      <c r="X5" s="85" t="s">
        <v>64</v>
      </c>
      <c r="Y5" s="85" t="s">
        <v>65</v>
      </c>
      <c r="Z5" s="85" t="s">
        <v>66</v>
      </c>
      <c r="AA5" s="85" t="s">
        <v>67</v>
      </c>
      <c r="AB5" s="2" t="s">
        <v>38</v>
      </c>
      <c r="AC5" s="49" t="s">
        <v>237</v>
      </c>
    </row>
    <row r="6" spans="1:30" s="22" customFormat="1" ht="6.95" customHeight="1" thickBot="1">
      <c r="A6" s="1"/>
      <c r="B6" s="26"/>
      <c r="C6" s="26"/>
      <c r="D6" s="26"/>
      <c r="E6" s="26"/>
      <c r="F6" s="26"/>
      <c r="G6" s="26"/>
      <c r="J6" s="53"/>
      <c r="M6" s="26"/>
      <c r="N6" s="26"/>
      <c r="O6" s="50"/>
      <c r="P6" s="50"/>
      <c r="Q6" s="50"/>
      <c r="R6" s="50"/>
      <c r="S6" s="50"/>
      <c r="V6" s="53"/>
      <c r="X6" s="26"/>
      <c r="Y6" s="26"/>
      <c r="Z6" s="50"/>
      <c r="AA6" s="50"/>
      <c r="AB6" s="50"/>
      <c r="AC6" s="50"/>
    </row>
    <row r="7" spans="1:30" s="22" customFormat="1" ht="70.150000000000006" customHeight="1" thickBot="1">
      <c r="A7" s="87" t="s">
        <v>164</v>
      </c>
      <c r="B7" s="88"/>
      <c r="C7" s="88"/>
      <c r="D7" s="88">
        <v>0.62</v>
      </c>
      <c r="E7" s="88">
        <v>0.66669999999999996</v>
      </c>
      <c r="F7" s="88">
        <f>AVERAGE(B7:E7)</f>
        <v>0.64334999999999998</v>
      </c>
      <c r="G7" s="88" t="s">
        <v>165</v>
      </c>
      <c r="J7" s="89" t="s">
        <v>139</v>
      </c>
      <c r="M7" s="88"/>
      <c r="N7" s="90"/>
      <c r="O7" s="88">
        <v>0.62</v>
      </c>
      <c r="P7" s="91">
        <v>0.66669999999999996</v>
      </c>
      <c r="Q7" s="92">
        <v>0.85419999999999996</v>
      </c>
      <c r="R7" s="93">
        <f>AVERAGE(M7:Q7)</f>
        <v>0.71363333333333323</v>
      </c>
      <c r="S7" s="94" t="s">
        <v>165</v>
      </c>
      <c r="V7" s="89" t="s">
        <v>139</v>
      </c>
      <c r="X7" s="88">
        <v>0.62</v>
      </c>
      <c r="Y7" s="91">
        <v>0.67</v>
      </c>
      <c r="Z7" s="303">
        <v>0.85419999999999996</v>
      </c>
      <c r="AA7" s="304">
        <v>0.78</v>
      </c>
      <c r="AB7" s="93">
        <f>AVERAGE(X7:AA7)</f>
        <v>0.73104999999999998</v>
      </c>
      <c r="AC7" s="94" t="s">
        <v>165</v>
      </c>
      <c r="AD7" s="186" t="s">
        <v>287</v>
      </c>
    </row>
    <row r="8" spans="1:30" s="53" customFormat="1" ht="19.5" customHeight="1" thickBot="1">
      <c r="A8" s="95"/>
      <c r="B8" s="96"/>
      <c r="C8" s="96"/>
      <c r="D8" s="96"/>
      <c r="E8" s="96"/>
      <c r="F8" s="96"/>
      <c r="G8" s="96"/>
      <c r="M8" s="96"/>
      <c r="N8" s="97"/>
      <c r="O8" s="96"/>
      <c r="P8" s="98"/>
      <c r="Q8" s="98"/>
      <c r="R8" s="99"/>
      <c r="S8" s="100"/>
      <c r="X8" s="96"/>
      <c r="Y8" s="97"/>
      <c r="Z8" s="96"/>
      <c r="AA8" s="98"/>
      <c r="AB8" s="99"/>
      <c r="AC8" s="100"/>
    </row>
    <row r="9" spans="1:30" s="22" customFormat="1" ht="57" customHeight="1" thickTop="1">
      <c r="A9" s="101" t="s">
        <v>166</v>
      </c>
      <c r="B9" s="85" t="s">
        <v>163</v>
      </c>
      <c r="C9" s="85" t="s">
        <v>63</v>
      </c>
      <c r="D9" s="85" t="s">
        <v>64</v>
      </c>
      <c r="E9" s="85" t="s">
        <v>65</v>
      </c>
      <c r="F9" s="85" t="s">
        <v>38</v>
      </c>
      <c r="G9" s="85" t="s">
        <v>14</v>
      </c>
      <c r="J9" s="53"/>
      <c r="M9" s="85" t="s">
        <v>163</v>
      </c>
      <c r="N9" s="85" t="s">
        <v>63</v>
      </c>
      <c r="O9" s="85" t="s">
        <v>64</v>
      </c>
      <c r="P9" s="85" t="s">
        <v>65</v>
      </c>
      <c r="Q9" s="86" t="s">
        <v>66</v>
      </c>
      <c r="R9" s="2" t="s">
        <v>38</v>
      </c>
      <c r="S9" s="49" t="s">
        <v>14</v>
      </c>
      <c r="V9" s="53"/>
      <c r="X9" s="85" t="s">
        <v>64</v>
      </c>
      <c r="Y9" s="85" t="s">
        <v>65</v>
      </c>
      <c r="Z9" s="85" t="s">
        <v>66</v>
      </c>
      <c r="AA9" s="85" t="s">
        <v>67</v>
      </c>
      <c r="AB9" s="2" t="s">
        <v>38</v>
      </c>
      <c r="AC9" s="49" t="s">
        <v>237</v>
      </c>
    </row>
    <row r="10" spans="1:30" s="22" customFormat="1" ht="6.95" customHeight="1" thickBot="1">
      <c r="A10" s="1"/>
      <c r="B10" s="26"/>
      <c r="C10" s="26"/>
      <c r="D10" s="26"/>
      <c r="E10" s="26"/>
      <c r="F10" s="26"/>
      <c r="G10" s="26"/>
      <c r="J10" s="53"/>
      <c r="M10" s="26"/>
      <c r="N10" s="26"/>
      <c r="O10" s="50"/>
      <c r="P10" s="50"/>
      <c r="Q10" s="50"/>
      <c r="R10" s="50"/>
      <c r="S10" s="50"/>
      <c r="V10" s="53"/>
      <c r="X10" s="26"/>
      <c r="Y10" s="26"/>
      <c r="Z10" s="50"/>
      <c r="AA10" s="50"/>
      <c r="AB10" s="50"/>
      <c r="AC10" s="50"/>
    </row>
    <row r="11" spans="1:30" s="22" customFormat="1" ht="70.150000000000006" customHeight="1" thickBot="1">
      <c r="A11" s="87" t="s">
        <v>167</v>
      </c>
      <c r="B11" s="88">
        <v>0.9</v>
      </c>
      <c r="C11" s="88">
        <v>0.91</v>
      </c>
      <c r="D11" s="88">
        <v>0.9375</v>
      </c>
      <c r="E11" s="88">
        <v>0.94</v>
      </c>
      <c r="F11" s="88">
        <f>AVERAGE(B11:D11)</f>
        <v>0.91583333333333339</v>
      </c>
      <c r="G11" s="88">
        <v>0.9</v>
      </c>
      <c r="J11" s="102" t="s">
        <v>18</v>
      </c>
      <c r="M11" s="88">
        <v>0.9</v>
      </c>
      <c r="N11" s="103">
        <v>0.91</v>
      </c>
      <c r="O11" s="103">
        <v>0.9375</v>
      </c>
      <c r="P11" s="91">
        <v>0.94</v>
      </c>
      <c r="Q11" s="104">
        <v>0.77</v>
      </c>
      <c r="R11" s="93">
        <f>AVERAGE(M11:O11)</f>
        <v>0.91583333333333339</v>
      </c>
      <c r="S11" s="94">
        <v>0.9</v>
      </c>
      <c r="V11" s="102" t="s">
        <v>18</v>
      </c>
      <c r="X11" s="88">
        <v>0.94</v>
      </c>
      <c r="Y11" s="103">
        <v>0.94</v>
      </c>
      <c r="Z11" s="103">
        <v>0.77</v>
      </c>
      <c r="AA11" s="304">
        <v>0.8</v>
      </c>
      <c r="AB11" s="93">
        <f>AVERAGE(X11:Z11)</f>
        <v>0.8833333333333333</v>
      </c>
      <c r="AC11" s="94">
        <v>0.9</v>
      </c>
      <c r="AD11" s="186" t="s">
        <v>287</v>
      </c>
    </row>
    <row r="12" spans="1:30" s="22" customFormat="1" ht="48" customHeight="1" thickBot="1">
      <c r="J12" s="53"/>
      <c r="V12" s="53"/>
    </row>
    <row r="13" spans="1:30" s="22" customFormat="1" ht="27" customHeight="1" thickTop="1">
      <c r="A13" s="84" t="s">
        <v>168</v>
      </c>
      <c r="B13" s="85" t="s">
        <v>163</v>
      </c>
      <c r="C13" s="85" t="s">
        <v>63</v>
      </c>
      <c r="D13" s="85" t="s">
        <v>64</v>
      </c>
      <c r="E13" s="85" t="s">
        <v>65</v>
      </c>
      <c r="F13" s="85" t="s">
        <v>38</v>
      </c>
      <c r="G13" s="85" t="s">
        <v>14</v>
      </c>
      <c r="J13" s="53"/>
      <c r="M13" s="85" t="s">
        <v>163</v>
      </c>
      <c r="N13" s="85" t="s">
        <v>63</v>
      </c>
      <c r="O13" s="85" t="s">
        <v>64</v>
      </c>
      <c r="P13" s="85" t="s">
        <v>65</v>
      </c>
      <c r="Q13" s="86" t="s">
        <v>66</v>
      </c>
      <c r="R13" s="2" t="s">
        <v>38</v>
      </c>
      <c r="S13" s="49" t="s">
        <v>14</v>
      </c>
      <c r="V13" s="53"/>
      <c r="X13" s="85" t="s">
        <v>64</v>
      </c>
      <c r="Y13" s="85" t="s">
        <v>65</v>
      </c>
      <c r="Z13" s="85" t="s">
        <v>66</v>
      </c>
      <c r="AA13" s="85" t="s">
        <v>67</v>
      </c>
      <c r="AB13" s="2" t="s">
        <v>38</v>
      </c>
      <c r="AC13" s="49" t="s">
        <v>237</v>
      </c>
    </row>
    <row r="14" spans="1:30" s="22" customFormat="1" ht="6.95" customHeight="1" thickBot="1">
      <c r="A14" s="1"/>
      <c r="B14" s="26"/>
      <c r="C14" s="26"/>
      <c r="D14" s="26"/>
      <c r="E14" s="26"/>
      <c r="F14" s="26"/>
      <c r="G14" s="26"/>
      <c r="J14" s="53"/>
      <c r="M14" s="26"/>
      <c r="N14" s="26"/>
      <c r="O14" s="50"/>
      <c r="P14" s="50"/>
      <c r="Q14" s="50"/>
      <c r="R14" s="50"/>
      <c r="S14" s="50"/>
      <c r="V14" s="53"/>
      <c r="X14" s="26"/>
      <c r="Y14" s="26"/>
      <c r="Z14" s="50"/>
      <c r="AA14" s="50"/>
      <c r="AB14" s="50"/>
      <c r="AC14" s="50"/>
    </row>
    <row r="15" spans="1:30" s="22" customFormat="1" ht="59.45" customHeight="1" thickBot="1">
      <c r="A15" s="87" t="s">
        <v>169</v>
      </c>
      <c r="B15" s="88">
        <v>0.95</v>
      </c>
      <c r="C15" s="88">
        <v>0.95</v>
      </c>
      <c r="D15" s="88">
        <v>0.96409999999999996</v>
      </c>
      <c r="E15" s="88">
        <v>0.96319999999999995</v>
      </c>
      <c r="F15" s="88">
        <f>AVERAGE(B15:D15)</f>
        <v>0.95469999999999988</v>
      </c>
      <c r="G15" s="88" t="s">
        <v>76</v>
      </c>
      <c r="J15" s="102" t="s">
        <v>18</v>
      </c>
      <c r="M15" s="88">
        <v>0.95</v>
      </c>
      <c r="N15" s="105">
        <v>0.95</v>
      </c>
      <c r="O15" s="105">
        <v>0.96409999999999996</v>
      </c>
      <c r="P15" s="106">
        <v>0.96319999999999995</v>
      </c>
      <c r="Q15" s="107">
        <v>0.97470000000000001</v>
      </c>
      <c r="R15" s="108">
        <f>AVERAGE(M15:O15)</f>
        <v>0.95469999999999988</v>
      </c>
      <c r="S15" s="94" t="s">
        <v>76</v>
      </c>
      <c r="V15" s="102" t="s">
        <v>18</v>
      </c>
      <c r="X15" s="88">
        <v>0.96</v>
      </c>
      <c r="Y15" s="106">
        <v>0.96319999999999995</v>
      </c>
      <c r="Z15" s="106">
        <f>(98.85+96.01+99.17+95.83)/400</f>
        <v>0.97465000000000002</v>
      </c>
      <c r="AA15" s="305">
        <f>((98.93+94.44)/200+96.01/100+(95.6+96.43)/200)/3</f>
        <v>0.9623666666666667</v>
      </c>
      <c r="AB15" s="108">
        <f>AVERAGE(X15:Z15)</f>
        <v>0.96594999999999998</v>
      </c>
      <c r="AC15" s="94" t="s">
        <v>76</v>
      </c>
      <c r="AD15" s="230" t="s">
        <v>18</v>
      </c>
    </row>
    <row r="16" spans="1:30" s="22" customFormat="1" ht="6.95" customHeight="1" thickBot="1">
      <c r="A16" s="1"/>
      <c r="B16" s="109"/>
      <c r="C16" s="109"/>
      <c r="D16" s="109"/>
      <c r="E16" s="109"/>
      <c r="F16" s="109"/>
      <c r="G16" s="109"/>
      <c r="J16" s="53"/>
      <c r="M16" s="109"/>
      <c r="N16" s="50"/>
      <c r="O16" s="50"/>
      <c r="P16" s="50"/>
      <c r="Q16" s="110"/>
      <c r="R16" s="50"/>
      <c r="S16" s="50"/>
      <c r="V16" s="53"/>
      <c r="X16" s="109"/>
      <c r="Y16" s="50"/>
      <c r="Z16" s="50"/>
      <c r="AA16" s="50"/>
      <c r="AB16" s="50"/>
      <c r="AC16" s="50"/>
    </row>
    <row r="17" spans="1:52" s="22" customFormat="1" ht="59.45" customHeight="1" thickBot="1">
      <c r="A17" s="87" t="s">
        <v>170</v>
      </c>
      <c r="B17" s="105">
        <v>1</v>
      </c>
      <c r="C17" s="105">
        <v>1</v>
      </c>
      <c r="D17" s="105">
        <v>1</v>
      </c>
      <c r="E17" s="105">
        <v>0.75</v>
      </c>
      <c r="F17" s="105">
        <f>AVERAGE(B17:E17)</f>
        <v>0.9375</v>
      </c>
      <c r="G17" s="105" t="s">
        <v>76</v>
      </c>
      <c r="J17" s="89" t="s">
        <v>139</v>
      </c>
      <c r="M17" s="105">
        <v>1</v>
      </c>
      <c r="N17" s="105">
        <v>1</v>
      </c>
      <c r="O17" s="105">
        <v>1</v>
      </c>
      <c r="P17" s="111">
        <v>0.75</v>
      </c>
      <c r="Q17" s="112">
        <v>1</v>
      </c>
      <c r="R17" s="93">
        <f>AVERAGE(M17:Q17)</f>
        <v>0.95</v>
      </c>
      <c r="S17" s="94" t="s">
        <v>76</v>
      </c>
      <c r="V17" s="89" t="s">
        <v>139</v>
      </c>
      <c r="X17" s="105">
        <v>1</v>
      </c>
      <c r="Y17" s="105">
        <v>0.75</v>
      </c>
      <c r="Z17" s="105">
        <v>1</v>
      </c>
      <c r="AA17" s="306">
        <v>1</v>
      </c>
      <c r="AB17" s="93">
        <f>AVERAGE(X17:AA17)</f>
        <v>0.9375</v>
      </c>
      <c r="AC17" s="94" t="s">
        <v>76</v>
      </c>
      <c r="AD17" s="186" t="s">
        <v>139</v>
      </c>
    </row>
    <row r="18" spans="1:52" s="22" customFormat="1" ht="48" customHeight="1" thickBot="1">
      <c r="J18" s="53"/>
      <c r="N18" s="113"/>
      <c r="V18" s="53"/>
      <c r="Y18" s="113"/>
    </row>
    <row r="19" spans="1:52" s="22" customFormat="1" ht="27" customHeight="1" thickTop="1">
      <c r="A19" s="84" t="s">
        <v>171</v>
      </c>
      <c r="B19" s="85" t="s">
        <v>163</v>
      </c>
      <c r="C19" s="85" t="s">
        <v>63</v>
      </c>
      <c r="D19" s="85" t="s">
        <v>64</v>
      </c>
      <c r="E19" s="85" t="s">
        <v>65</v>
      </c>
      <c r="F19" s="85" t="s">
        <v>38</v>
      </c>
      <c r="G19" s="85" t="s">
        <v>14</v>
      </c>
      <c r="J19" s="53"/>
      <c r="M19" s="85" t="s">
        <v>163</v>
      </c>
      <c r="N19" s="85" t="s">
        <v>63</v>
      </c>
      <c r="O19" s="85" t="s">
        <v>64</v>
      </c>
      <c r="P19" s="85" t="s">
        <v>65</v>
      </c>
      <c r="Q19" s="85" t="s">
        <v>66</v>
      </c>
      <c r="R19" s="2" t="s">
        <v>38</v>
      </c>
      <c r="S19" s="49" t="s">
        <v>14</v>
      </c>
      <c r="V19" s="53"/>
      <c r="X19" s="85" t="s">
        <v>64</v>
      </c>
      <c r="Y19" s="85" t="s">
        <v>65</v>
      </c>
      <c r="Z19" s="85" t="s">
        <v>66</v>
      </c>
      <c r="AA19" s="85" t="s">
        <v>67</v>
      </c>
      <c r="AB19" s="2" t="s">
        <v>38</v>
      </c>
      <c r="AC19" s="49" t="s">
        <v>237</v>
      </c>
    </row>
    <row r="20" spans="1:52" s="22" customFormat="1" ht="6.95" customHeight="1">
      <c r="A20" s="1"/>
      <c r="B20" s="26"/>
      <c r="C20" s="26"/>
      <c r="D20" s="26"/>
      <c r="E20" s="26"/>
      <c r="F20" s="26"/>
      <c r="G20" s="26"/>
      <c r="J20" s="53"/>
      <c r="M20" s="26"/>
      <c r="N20" s="26"/>
      <c r="O20" s="50"/>
      <c r="P20" s="50"/>
      <c r="Q20" s="50"/>
      <c r="R20" s="50"/>
      <c r="S20" s="50"/>
      <c r="V20" s="53"/>
      <c r="X20" s="26"/>
      <c r="Y20" s="26"/>
      <c r="Z20" s="50"/>
      <c r="AA20" s="50"/>
      <c r="AB20" s="50"/>
      <c r="AC20" s="50"/>
    </row>
    <row r="21" spans="1:52" s="22" customFormat="1" ht="6.95" customHeight="1" thickBot="1">
      <c r="A21" s="1"/>
      <c r="B21" s="26"/>
      <c r="C21" s="26"/>
      <c r="D21" s="26"/>
      <c r="E21" s="26"/>
      <c r="F21" s="26"/>
      <c r="G21" s="26"/>
      <c r="J21" s="53"/>
      <c r="M21" s="26"/>
      <c r="N21" s="26"/>
      <c r="O21" s="50"/>
      <c r="P21" s="50"/>
      <c r="Q21" s="50"/>
      <c r="R21" s="50"/>
      <c r="S21" s="50"/>
      <c r="V21" s="53"/>
      <c r="X21" s="26"/>
      <c r="Y21" s="26"/>
      <c r="Z21" s="50"/>
      <c r="AA21" s="50"/>
      <c r="AB21" s="50"/>
      <c r="AC21" s="50"/>
    </row>
    <row r="22" spans="1:52" s="22" customFormat="1" ht="41.25" customHeight="1" thickBot="1">
      <c r="A22" s="87" t="s">
        <v>172</v>
      </c>
      <c r="B22" s="74">
        <v>0</v>
      </c>
      <c r="C22" s="74">
        <v>0</v>
      </c>
      <c r="D22" s="74">
        <v>0</v>
      </c>
      <c r="E22" s="74">
        <v>0</v>
      </c>
      <c r="F22" s="74">
        <f>AVERAGE(B22:C22)</f>
        <v>0</v>
      </c>
      <c r="G22" s="74">
        <v>0</v>
      </c>
      <c r="J22" s="102" t="s">
        <v>18</v>
      </c>
      <c r="M22" s="74">
        <v>0</v>
      </c>
      <c r="N22" s="74">
        <v>0</v>
      </c>
      <c r="O22" s="74">
        <v>0</v>
      </c>
      <c r="P22" s="6">
        <v>0</v>
      </c>
      <c r="Q22" s="114">
        <v>0</v>
      </c>
      <c r="R22" s="115">
        <f>AVERAGE(M22:N22)</f>
        <v>0</v>
      </c>
      <c r="S22" s="116">
        <v>0</v>
      </c>
      <c r="V22" s="102" t="s">
        <v>18</v>
      </c>
      <c r="X22" s="74">
        <v>0</v>
      </c>
      <c r="Y22" s="74">
        <v>0</v>
      </c>
      <c r="Z22" s="74">
        <v>0</v>
      </c>
      <c r="AA22" s="45">
        <v>0</v>
      </c>
      <c r="AB22" s="115">
        <f>AVERAGE(X22:Y22)</f>
        <v>0</v>
      </c>
      <c r="AC22" s="116">
        <v>0</v>
      </c>
      <c r="AD22" s="230" t="s">
        <v>18</v>
      </c>
    </row>
    <row r="23" spans="1:52" s="22" customFormat="1" ht="6.95" customHeight="1" thickBot="1">
      <c r="A23" s="1"/>
      <c r="B23" s="26"/>
      <c r="C23" s="26"/>
      <c r="D23" s="26"/>
      <c r="E23" s="26"/>
      <c r="F23" s="26"/>
      <c r="G23" s="26"/>
      <c r="J23" s="53"/>
      <c r="M23" s="26"/>
      <c r="N23" s="26"/>
      <c r="O23" s="50"/>
      <c r="P23" s="50"/>
      <c r="Q23" s="50"/>
      <c r="R23" s="50"/>
      <c r="S23" s="50"/>
      <c r="V23" s="53"/>
      <c r="X23" s="26"/>
      <c r="Y23" s="26"/>
      <c r="Z23" s="50"/>
      <c r="AA23" s="50"/>
      <c r="AB23" s="50"/>
      <c r="AC23" s="50"/>
    </row>
    <row r="24" spans="1:52" s="22" customFormat="1" ht="50.45" customHeight="1" thickBot="1">
      <c r="A24" s="87" t="s">
        <v>173</v>
      </c>
      <c r="B24" s="117">
        <v>0.1</v>
      </c>
      <c r="C24" s="117">
        <v>7.0000000000000007E-2</v>
      </c>
      <c r="D24" s="117">
        <v>2.5499999999999998E-2</v>
      </c>
      <c r="E24" s="117">
        <v>2.3900000000000001E-2</v>
      </c>
      <c r="F24" s="117">
        <f>AVERAGE(B24:D24)</f>
        <v>6.5166666666666664E-2</v>
      </c>
      <c r="G24" s="117" t="s">
        <v>174</v>
      </c>
      <c r="J24" s="102" t="s">
        <v>18</v>
      </c>
      <c r="M24" s="117">
        <v>0.1</v>
      </c>
      <c r="N24" s="118">
        <v>7.0000000000000007E-2</v>
      </c>
      <c r="O24" s="119">
        <v>2.5499999999999998E-2</v>
      </c>
      <c r="P24" s="119">
        <v>2.3900000000000001E-2</v>
      </c>
      <c r="Q24" s="120">
        <v>2.47E-2</v>
      </c>
      <c r="R24" s="121">
        <f>AVERAGE(M24:O24)</f>
        <v>6.5166666666666664E-2</v>
      </c>
      <c r="S24" s="122" t="s">
        <v>174</v>
      </c>
      <c r="V24" s="102" t="s">
        <v>18</v>
      </c>
      <c r="X24" s="119">
        <v>2.5499999999999998E-2</v>
      </c>
      <c r="Y24" s="119">
        <v>2.3900000000000001E-2</v>
      </c>
      <c r="Z24" s="119">
        <v>2.47E-2</v>
      </c>
      <c r="AA24" s="307">
        <v>2.4400000000000002E-2</v>
      </c>
      <c r="AB24" s="121">
        <f>AVERAGE(X24:AA24)</f>
        <v>2.4625000000000001E-2</v>
      </c>
      <c r="AC24" s="122" t="s">
        <v>286</v>
      </c>
      <c r="AD24" s="230" t="s">
        <v>122</v>
      </c>
    </row>
    <row r="25" spans="1:52" s="53" customFormat="1" ht="39" customHeight="1" thickBot="1">
      <c r="A25" s="95"/>
      <c r="B25" s="123"/>
      <c r="C25" s="123"/>
      <c r="D25" s="123"/>
      <c r="E25" s="123"/>
      <c r="F25" s="123"/>
      <c r="G25" s="123"/>
      <c r="M25" s="123"/>
      <c r="N25" s="124"/>
      <c r="O25" s="125"/>
      <c r="P25" s="126"/>
      <c r="Q25" s="127"/>
      <c r="R25" s="128"/>
      <c r="X25" s="123"/>
      <c r="Y25" s="124"/>
      <c r="Z25" s="125"/>
      <c r="AA25" s="126"/>
      <c r="AB25" s="127"/>
      <c r="AC25" s="128"/>
    </row>
    <row r="26" spans="1:52" s="22" customFormat="1" ht="27" customHeight="1" thickTop="1">
      <c r="A26" s="101" t="s">
        <v>175</v>
      </c>
      <c r="B26" s="85" t="s">
        <v>63</v>
      </c>
      <c r="C26" s="85" t="s">
        <v>64</v>
      </c>
      <c r="D26" s="85" t="s">
        <v>65</v>
      </c>
      <c r="E26" s="85" t="s">
        <v>66</v>
      </c>
      <c r="F26" s="85" t="s">
        <v>38</v>
      </c>
      <c r="G26" s="85" t="s">
        <v>14</v>
      </c>
      <c r="J26" s="53"/>
      <c r="M26" s="85" t="s">
        <v>63</v>
      </c>
      <c r="N26" s="85" t="s">
        <v>64</v>
      </c>
      <c r="O26" s="85" t="s">
        <v>65</v>
      </c>
      <c r="P26" s="85" t="s">
        <v>66</v>
      </c>
      <c r="Q26" s="2" t="s">
        <v>38</v>
      </c>
      <c r="R26" s="49" t="s">
        <v>14</v>
      </c>
      <c r="U26" s="53"/>
      <c r="X26" s="85" t="s">
        <v>64</v>
      </c>
      <c r="Y26" s="85" t="s">
        <v>65</v>
      </c>
      <c r="Z26" s="85" t="s">
        <v>66</v>
      </c>
      <c r="AA26" s="85" t="s">
        <v>67</v>
      </c>
      <c r="AB26" s="2" t="s">
        <v>38</v>
      </c>
      <c r="AC26" s="49" t="s">
        <v>237</v>
      </c>
    </row>
    <row r="27" spans="1:52" s="22" customFormat="1" ht="6.95" customHeight="1" thickBot="1">
      <c r="A27" s="1"/>
      <c r="B27" s="26"/>
      <c r="C27" s="26"/>
      <c r="D27" s="26"/>
      <c r="E27" s="26"/>
      <c r="F27" s="26"/>
      <c r="G27" s="26"/>
      <c r="J27" s="53"/>
      <c r="M27" s="26"/>
      <c r="N27" s="26"/>
      <c r="O27" s="26"/>
      <c r="P27" s="26"/>
      <c r="Q27" s="26"/>
      <c r="R27" s="50"/>
      <c r="U27" s="53"/>
      <c r="X27" s="26"/>
      <c r="Y27" s="26"/>
      <c r="Z27" s="26"/>
      <c r="AA27" s="26"/>
      <c r="AB27" s="26"/>
      <c r="AC27" s="50"/>
    </row>
    <row r="28" spans="1:52" s="22" customFormat="1" ht="40.5" customHeight="1" thickBot="1">
      <c r="A28" s="129" t="s">
        <v>176</v>
      </c>
      <c r="B28" s="130"/>
      <c r="C28" s="130">
        <v>0.40100000000000002</v>
      </c>
      <c r="D28" s="130">
        <v>0.48399999999999999</v>
      </c>
      <c r="E28" s="130"/>
      <c r="F28" s="130">
        <f>AVERAGE(B28:D28)</f>
        <v>0.4425</v>
      </c>
      <c r="G28" s="130" t="s">
        <v>177</v>
      </c>
      <c r="J28" s="89" t="s">
        <v>139</v>
      </c>
      <c r="M28" s="130"/>
      <c r="N28" s="130">
        <v>0.40100000000000002</v>
      </c>
      <c r="O28" s="131">
        <v>0.48399999999999999</v>
      </c>
      <c r="P28" s="132">
        <v>0.55000000000000004</v>
      </c>
      <c r="Q28" s="93">
        <f>AVERAGE(M28:O28)</f>
        <v>0.4425</v>
      </c>
      <c r="R28" s="94" t="s">
        <v>177</v>
      </c>
      <c r="U28" s="89" t="s">
        <v>139</v>
      </c>
      <c r="X28" s="130">
        <v>0.40100000000000002</v>
      </c>
      <c r="Y28" s="131">
        <v>0.48399999999999999</v>
      </c>
      <c r="Z28" s="131">
        <f>(62.27+48.69)/200</f>
        <v>0.55480000000000007</v>
      </c>
      <c r="AA28" s="132">
        <f>(47+68)/200</f>
        <v>0.57499999999999996</v>
      </c>
      <c r="AB28" s="93">
        <f>AVERAGE(X28:Z28)</f>
        <v>0.47993333333333332</v>
      </c>
      <c r="AC28" s="94" t="s">
        <v>177</v>
      </c>
      <c r="AD28" s="186" t="s">
        <v>139</v>
      </c>
    </row>
    <row r="29" spans="1:52" s="22" customFormat="1" ht="12.75" customHeight="1" thickBot="1">
      <c r="J29" s="53"/>
      <c r="P29" s="133"/>
      <c r="U29" s="53"/>
      <c r="AA29" s="133"/>
    </row>
    <row r="30" spans="1:52" s="22" customFormat="1" ht="41.25" customHeight="1" thickBot="1">
      <c r="A30" s="87" t="s">
        <v>178</v>
      </c>
      <c r="B30" s="130">
        <v>0.72</v>
      </c>
      <c r="C30" s="130">
        <v>0.89</v>
      </c>
      <c r="D30" s="130">
        <v>0.80500000000000005</v>
      </c>
      <c r="E30" s="130"/>
      <c r="F30" s="130">
        <f>AVERAGE(B30:E30)</f>
        <v>0.80500000000000005</v>
      </c>
      <c r="G30" s="130" t="s">
        <v>179</v>
      </c>
      <c r="J30" s="89" t="s">
        <v>139</v>
      </c>
      <c r="M30" s="130">
        <v>0.72</v>
      </c>
      <c r="N30" s="130">
        <v>0.89</v>
      </c>
      <c r="O30" s="130">
        <v>0.80500000000000005</v>
      </c>
      <c r="P30" s="132">
        <v>0.89</v>
      </c>
      <c r="Q30" s="93">
        <f>AVERAGE(M30:P30)</f>
        <v>0.82625000000000004</v>
      </c>
      <c r="R30" s="94" t="s">
        <v>179</v>
      </c>
      <c r="U30" s="89" t="s">
        <v>139</v>
      </c>
      <c r="X30" s="130">
        <v>0.89</v>
      </c>
      <c r="Y30" s="130">
        <v>0.80500000000000005</v>
      </c>
      <c r="Z30" s="130">
        <f>(89+88)/200</f>
        <v>0.88500000000000001</v>
      </c>
      <c r="AA30" s="132">
        <f>(96+89)/200</f>
        <v>0.92500000000000004</v>
      </c>
      <c r="AB30" s="93">
        <f>AVERAGE(X30:AA30)</f>
        <v>0.87624999999999997</v>
      </c>
      <c r="AC30" s="94" t="s">
        <v>179</v>
      </c>
      <c r="AD30" s="230" t="s">
        <v>18</v>
      </c>
    </row>
    <row r="31" spans="1:52" s="53" customFormat="1" ht="27" customHeight="1" thickBot="1">
      <c r="A31" s="95"/>
      <c r="B31" s="134"/>
      <c r="C31" s="134"/>
      <c r="D31" s="134"/>
      <c r="E31" s="134"/>
      <c r="F31" s="134"/>
      <c r="G31" s="134"/>
      <c r="M31" s="134"/>
      <c r="N31" s="134"/>
      <c r="O31" s="134"/>
      <c r="P31" s="135"/>
      <c r="Q31" s="99"/>
      <c r="R31" s="100"/>
      <c r="X31" s="134"/>
      <c r="Y31" s="134"/>
      <c r="Z31" s="134"/>
      <c r="AA31" s="135"/>
      <c r="AB31" s="99"/>
      <c r="AC31" s="100"/>
    </row>
    <row r="32" spans="1:52" ht="70.5" customHeight="1" thickTop="1">
      <c r="A32" s="101" t="s">
        <v>180</v>
      </c>
      <c r="B32" s="85" t="s">
        <v>65</v>
      </c>
      <c r="C32" s="85" t="s">
        <v>66</v>
      </c>
      <c r="D32" s="85" t="s">
        <v>67</v>
      </c>
      <c r="E32" s="85" t="s">
        <v>68</v>
      </c>
      <c r="F32" s="85" t="s">
        <v>38</v>
      </c>
      <c r="G32" s="85" t="s">
        <v>14</v>
      </c>
      <c r="J32" s="53"/>
      <c r="M32" s="85" t="s">
        <v>65</v>
      </c>
      <c r="N32" s="85" t="s">
        <v>66</v>
      </c>
      <c r="O32" s="85" t="s">
        <v>67</v>
      </c>
      <c r="P32" s="85" t="s">
        <v>68</v>
      </c>
      <c r="Q32" s="2" t="s">
        <v>38</v>
      </c>
      <c r="R32" s="49" t="s">
        <v>14</v>
      </c>
      <c r="U32" s="53"/>
      <c r="X32" s="85" t="s">
        <v>65</v>
      </c>
      <c r="Y32" s="85" t="s">
        <v>66</v>
      </c>
      <c r="Z32" s="85" t="s">
        <v>67</v>
      </c>
      <c r="AA32" s="85" t="s">
        <v>68</v>
      </c>
      <c r="AB32" s="2" t="s">
        <v>38</v>
      </c>
      <c r="AC32" s="49" t="s">
        <v>237</v>
      </c>
      <c r="AW32" s="22"/>
      <c r="AX32" s="22"/>
      <c r="AY32" s="22"/>
      <c r="AZ32" s="22"/>
    </row>
    <row r="33" spans="1:52" ht="6.95" customHeight="1" thickBot="1">
      <c r="B33" s="26"/>
      <c r="C33" s="26"/>
      <c r="D33" s="26"/>
      <c r="E33" s="26"/>
      <c r="F33" s="26"/>
      <c r="G33" s="26"/>
      <c r="J33" s="53"/>
      <c r="M33" s="26"/>
      <c r="N33" s="26"/>
      <c r="O33" s="50"/>
      <c r="P33" s="50"/>
      <c r="Q33" s="50"/>
      <c r="R33" s="50"/>
      <c r="U33" s="53"/>
      <c r="X33" s="26"/>
      <c r="Y33" s="26"/>
      <c r="Z33" s="50"/>
      <c r="AA33" s="50"/>
      <c r="AB33" s="50"/>
      <c r="AC33" s="50"/>
      <c r="AW33" s="22"/>
      <c r="AX33" s="22"/>
      <c r="AY33" s="22"/>
      <c r="AZ33" s="22"/>
    </row>
    <row r="34" spans="1:52" s="137" customFormat="1" ht="41.25" customHeight="1" thickTop="1" thickBot="1">
      <c r="A34" s="87" t="s">
        <v>181</v>
      </c>
      <c r="B34" s="136">
        <v>3</v>
      </c>
      <c r="C34" s="136"/>
      <c r="D34" s="136"/>
      <c r="E34" s="136"/>
      <c r="F34" s="136">
        <f>AVERAGE(B34:D34)</f>
        <v>3</v>
      </c>
      <c r="G34" s="136" t="s">
        <v>182</v>
      </c>
      <c r="J34" s="89" t="s">
        <v>139</v>
      </c>
      <c r="K34" s="138"/>
      <c r="L34" s="138"/>
      <c r="M34" s="136">
        <v>3</v>
      </c>
      <c r="N34" s="139">
        <v>4</v>
      </c>
      <c r="O34" s="140"/>
      <c r="P34" s="140"/>
      <c r="Q34" s="141">
        <f>AVERAGE(M34:O34)</f>
        <v>3.5</v>
      </c>
      <c r="R34" s="94" t="s">
        <v>182</v>
      </c>
      <c r="U34" s="89" t="s">
        <v>139</v>
      </c>
      <c r="V34" s="138"/>
      <c r="X34" s="136">
        <v>3</v>
      </c>
      <c r="Y34" s="139">
        <v>4</v>
      </c>
      <c r="Z34" s="308">
        <v>7</v>
      </c>
      <c r="AA34" s="140"/>
      <c r="AB34" s="141">
        <f>AVERAGE(X34:Z34)</f>
        <v>4.666666666666667</v>
      </c>
      <c r="AC34" s="94" t="s">
        <v>182</v>
      </c>
      <c r="AD34" s="309" t="s">
        <v>139</v>
      </c>
    </row>
    <row r="35" spans="1:52" s="143" customFormat="1" ht="41.25" customHeight="1" thickTop="1" thickBot="1">
      <c r="A35" s="95"/>
      <c r="B35" s="142"/>
      <c r="C35" s="142"/>
      <c r="D35" s="142"/>
      <c r="E35" s="142"/>
      <c r="F35" s="142"/>
      <c r="G35" s="142"/>
      <c r="J35" s="89"/>
      <c r="K35" s="138"/>
      <c r="L35" s="138"/>
      <c r="M35" s="142"/>
      <c r="N35" s="144"/>
      <c r="O35" s="145"/>
      <c r="P35" s="146"/>
      <c r="Q35" s="99"/>
      <c r="R35" s="100"/>
      <c r="U35" s="89"/>
      <c r="V35" s="138"/>
      <c r="X35" s="142"/>
      <c r="Y35" s="144"/>
      <c r="Z35" s="145"/>
      <c r="AA35" s="146"/>
      <c r="AB35" s="99"/>
      <c r="AC35" s="100"/>
    </row>
    <row r="36" spans="1:52" ht="47.25" customHeight="1" thickTop="1">
      <c r="A36" s="101" t="s">
        <v>183</v>
      </c>
      <c r="B36" s="85" t="s">
        <v>63</v>
      </c>
      <c r="C36" s="85" t="s">
        <v>64</v>
      </c>
      <c r="D36" s="85" t="s">
        <v>65</v>
      </c>
      <c r="E36" s="85"/>
      <c r="F36" s="85" t="s">
        <v>38</v>
      </c>
      <c r="G36" s="85" t="s">
        <v>14</v>
      </c>
      <c r="J36" s="53"/>
      <c r="M36" s="85" t="s">
        <v>63</v>
      </c>
      <c r="N36" s="85" t="s">
        <v>64</v>
      </c>
      <c r="O36" s="85" t="s">
        <v>65</v>
      </c>
      <c r="P36" s="86" t="s">
        <v>66</v>
      </c>
      <c r="Q36" s="2" t="s">
        <v>38</v>
      </c>
      <c r="R36" s="49" t="s">
        <v>14</v>
      </c>
      <c r="U36" s="53"/>
      <c r="X36" s="85" t="s">
        <v>64</v>
      </c>
      <c r="Y36" s="85" t="s">
        <v>65</v>
      </c>
      <c r="Z36" s="85" t="s">
        <v>66</v>
      </c>
      <c r="AA36" s="85" t="s">
        <v>67</v>
      </c>
      <c r="AB36" s="2" t="s">
        <v>38</v>
      </c>
      <c r="AC36" s="49" t="s">
        <v>237</v>
      </c>
      <c r="AW36" s="22"/>
      <c r="AX36" s="22"/>
      <c r="AY36" s="22"/>
      <c r="AZ36" s="22"/>
    </row>
    <row r="37" spans="1:52" ht="6.95" customHeight="1" thickBot="1">
      <c r="B37" s="26"/>
      <c r="C37" s="26"/>
      <c r="D37" s="26"/>
      <c r="E37" s="26"/>
      <c r="F37" s="26"/>
      <c r="G37" s="26"/>
      <c r="J37" s="53"/>
      <c r="M37" s="26"/>
      <c r="N37" s="26"/>
      <c r="O37" s="50"/>
      <c r="P37" s="50"/>
      <c r="Q37" s="50"/>
      <c r="R37" s="50"/>
      <c r="U37" s="53"/>
      <c r="X37" s="26"/>
      <c r="Y37" s="26"/>
      <c r="Z37" s="50"/>
      <c r="AA37" s="50"/>
      <c r="AB37" s="50"/>
      <c r="AC37" s="50"/>
      <c r="AW37" s="22"/>
      <c r="AX37" s="22"/>
      <c r="AY37" s="22"/>
      <c r="AZ37" s="22"/>
    </row>
    <row r="38" spans="1:52" s="137" customFormat="1" ht="41.25" customHeight="1" thickTop="1" thickBot="1">
      <c r="A38" s="87" t="s">
        <v>85</v>
      </c>
      <c r="B38" s="147"/>
      <c r="C38" s="147">
        <v>0.81</v>
      </c>
      <c r="D38" s="147">
        <v>0.82</v>
      </c>
      <c r="E38" s="147"/>
      <c r="F38" s="147">
        <f>AVERAGE(B38:D38)</f>
        <v>0.81499999999999995</v>
      </c>
      <c r="G38" s="147" t="s">
        <v>184</v>
      </c>
      <c r="J38" s="89" t="s">
        <v>139</v>
      </c>
      <c r="K38" s="138"/>
      <c r="L38" s="138"/>
      <c r="M38" s="147"/>
      <c r="N38" s="148">
        <v>0.81</v>
      </c>
      <c r="O38" s="149">
        <v>0.82</v>
      </c>
      <c r="P38" s="150">
        <v>0.82</v>
      </c>
      <c r="Q38" s="93">
        <f>AVERAGE(M38:O38)</f>
        <v>0.81499999999999995</v>
      </c>
      <c r="R38" s="94" t="s">
        <v>184</v>
      </c>
      <c r="U38" s="89" t="s">
        <v>139</v>
      </c>
      <c r="V38" s="138"/>
      <c r="X38" s="148">
        <v>0.81</v>
      </c>
      <c r="Y38" s="149">
        <v>0.82</v>
      </c>
      <c r="Z38" s="149">
        <v>0.82</v>
      </c>
      <c r="AA38" s="150">
        <f>(100+97+95)/300</f>
        <v>0.97333333333333338</v>
      </c>
      <c r="AB38" s="93">
        <f>AVERAGE(X38:Z38)</f>
        <v>0.81666666666666654</v>
      </c>
      <c r="AC38" s="94" t="s">
        <v>184</v>
      </c>
      <c r="AD38" s="230" t="s">
        <v>18</v>
      </c>
    </row>
    <row r="39" spans="1:52" s="143" customFormat="1" ht="41.25" customHeight="1" thickTop="1" thickBot="1">
      <c r="B39" s="151"/>
      <c r="C39" s="151"/>
      <c r="D39" s="151"/>
      <c r="E39" s="151"/>
      <c r="F39" s="151"/>
      <c r="G39" s="151"/>
      <c r="H39" s="152"/>
      <c r="I39" s="153"/>
      <c r="J39" s="153"/>
      <c r="K39" s="153"/>
      <c r="L39" s="153"/>
      <c r="M39" s="151"/>
      <c r="N39" s="151"/>
      <c r="O39" s="151"/>
      <c r="P39" s="151"/>
      <c r="Q39" s="151"/>
      <c r="R39" s="151"/>
      <c r="S39" s="152"/>
      <c r="T39" s="153"/>
      <c r="U39" s="153"/>
      <c r="V39" s="153"/>
      <c r="X39" s="151"/>
      <c r="Y39" s="151"/>
      <c r="Z39" s="151"/>
      <c r="AA39" s="151"/>
      <c r="AB39" s="151"/>
      <c r="AC39" s="151"/>
      <c r="AD39" s="152"/>
    </row>
    <row r="40" spans="1:52" s="22" customFormat="1" ht="70.5" customHeight="1" thickTop="1">
      <c r="A40" s="101" t="s">
        <v>185</v>
      </c>
      <c r="B40" s="85" t="s">
        <v>163</v>
      </c>
      <c r="C40" s="85" t="s">
        <v>63</v>
      </c>
      <c r="D40" s="85" t="s">
        <v>64</v>
      </c>
      <c r="E40" s="85" t="s">
        <v>65</v>
      </c>
      <c r="F40" s="85" t="s">
        <v>38</v>
      </c>
      <c r="G40" s="85" t="s">
        <v>14</v>
      </c>
      <c r="J40" s="53"/>
      <c r="M40" s="85" t="s">
        <v>163</v>
      </c>
      <c r="N40" s="85" t="s">
        <v>63</v>
      </c>
      <c r="O40" s="85" t="s">
        <v>64</v>
      </c>
      <c r="P40" s="85" t="s">
        <v>65</v>
      </c>
      <c r="Q40" s="86" t="s">
        <v>66</v>
      </c>
      <c r="R40" s="2" t="s">
        <v>38</v>
      </c>
      <c r="S40" s="49" t="s">
        <v>14</v>
      </c>
      <c r="V40" s="53"/>
      <c r="X40" s="85" t="s">
        <v>64</v>
      </c>
      <c r="Y40" s="85" t="s">
        <v>65</v>
      </c>
      <c r="Z40" s="85" t="s">
        <v>66</v>
      </c>
      <c r="AA40" s="85" t="s">
        <v>67</v>
      </c>
      <c r="AB40" s="2" t="s">
        <v>38</v>
      </c>
      <c r="AC40" s="49" t="s">
        <v>237</v>
      </c>
    </row>
    <row r="41" spans="1:52" s="22" customFormat="1" ht="6.95" customHeight="1" thickBot="1">
      <c r="A41" s="1"/>
      <c r="B41" s="26"/>
      <c r="C41" s="26"/>
      <c r="D41" s="26"/>
      <c r="E41" s="26"/>
      <c r="F41" s="26"/>
      <c r="G41" s="26"/>
      <c r="J41" s="53"/>
      <c r="M41" s="26"/>
      <c r="N41" s="26"/>
      <c r="O41" s="50"/>
      <c r="P41" s="50"/>
      <c r="Q41" s="50"/>
      <c r="R41" s="50"/>
      <c r="S41" s="50"/>
      <c r="V41" s="53"/>
      <c r="X41" s="26"/>
      <c r="Y41" s="26"/>
      <c r="Z41" s="50"/>
      <c r="AA41" s="50"/>
      <c r="AB41" s="50"/>
      <c r="AC41" s="50"/>
    </row>
    <row r="42" spans="1:52" s="22" customFormat="1" ht="56.25" customHeight="1" thickBot="1">
      <c r="A42" s="129" t="s">
        <v>186</v>
      </c>
      <c r="B42" s="130">
        <v>0.99</v>
      </c>
      <c r="C42" s="130">
        <v>1</v>
      </c>
      <c r="D42" s="130">
        <v>1</v>
      </c>
      <c r="E42" s="130">
        <v>1</v>
      </c>
      <c r="F42" s="130">
        <f>AVERAGE(B42:E42)</f>
        <v>0.99750000000000005</v>
      </c>
      <c r="G42" s="130">
        <v>1</v>
      </c>
      <c r="J42" s="102" t="s">
        <v>18</v>
      </c>
      <c r="M42" s="130">
        <v>0.99</v>
      </c>
      <c r="N42" s="130">
        <v>1</v>
      </c>
      <c r="O42" s="130">
        <v>1</v>
      </c>
      <c r="P42" s="131">
        <v>1</v>
      </c>
      <c r="Q42" s="154">
        <v>0.99</v>
      </c>
      <c r="R42" s="93">
        <f>AVERAGE(M42:Q42)</f>
        <v>0.99600000000000011</v>
      </c>
      <c r="S42" s="94">
        <v>1</v>
      </c>
      <c r="V42" s="102" t="s">
        <v>18</v>
      </c>
      <c r="X42" s="130">
        <v>1</v>
      </c>
      <c r="Y42" s="130">
        <v>1</v>
      </c>
      <c r="Z42" s="130">
        <v>0.99</v>
      </c>
      <c r="AA42" s="132">
        <v>0.96</v>
      </c>
      <c r="AB42" s="93">
        <f>AVERAGE(X42:AA42)</f>
        <v>0.98750000000000004</v>
      </c>
      <c r="AC42" s="94">
        <v>1</v>
      </c>
      <c r="AD42" s="186" t="s">
        <v>287</v>
      </c>
    </row>
    <row r="43" spans="1:52" s="22" customFormat="1" ht="11.25" customHeight="1" thickBot="1">
      <c r="A43" s="95"/>
      <c r="B43" s="134"/>
      <c r="C43" s="134"/>
      <c r="D43" s="134"/>
      <c r="E43" s="134"/>
      <c r="F43" s="134"/>
      <c r="G43" s="134"/>
      <c r="J43" s="53"/>
      <c r="M43" s="134"/>
      <c r="N43" s="134"/>
      <c r="O43" s="134"/>
      <c r="P43" s="135"/>
      <c r="Q43" s="135"/>
      <c r="R43" s="155"/>
      <c r="S43" s="156"/>
      <c r="V43" s="53"/>
      <c r="X43" s="134"/>
      <c r="Y43" s="134"/>
      <c r="Z43" s="134"/>
      <c r="AA43" s="135"/>
      <c r="AB43" s="155"/>
      <c r="AC43" s="310"/>
    </row>
    <row r="44" spans="1:52" s="22" customFormat="1" ht="70.150000000000006" customHeight="1" thickTop="1">
      <c r="A44" s="101" t="s">
        <v>187</v>
      </c>
      <c r="B44" s="85" t="s">
        <v>163</v>
      </c>
      <c r="C44" s="85" t="s">
        <v>63</v>
      </c>
      <c r="D44" s="85" t="s">
        <v>64</v>
      </c>
      <c r="E44" s="85" t="s">
        <v>65</v>
      </c>
      <c r="F44" s="85" t="s">
        <v>38</v>
      </c>
      <c r="G44" s="85" t="s">
        <v>14</v>
      </c>
      <c r="J44" s="53"/>
      <c r="M44" s="85" t="s">
        <v>163</v>
      </c>
      <c r="N44" s="85" t="s">
        <v>63</v>
      </c>
      <c r="O44" s="85" t="s">
        <v>64</v>
      </c>
      <c r="P44" s="85" t="s">
        <v>65</v>
      </c>
      <c r="Q44" s="86" t="s">
        <v>66</v>
      </c>
      <c r="R44" s="2" t="s">
        <v>38</v>
      </c>
      <c r="S44" s="49" t="s">
        <v>14</v>
      </c>
      <c r="V44" s="53"/>
      <c r="X44" s="85" t="s">
        <v>64</v>
      </c>
      <c r="Y44" s="85" t="s">
        <v>65</v>
      </c>
      <c r="Z44" s="85" t="s">
        <v>66</v>
      </c>
      <c r="AA44" s="85" t="s">
        <v>67</v>
      </c>
      <c r="AB44" s="2" t="s">
        <v>38</v>
      </c>
      <c r="AC44" s="49" t="s">
        <v>237</v>
      </c>
    </row>
    <row r="45" spans="1:52" s="22" customFormat="1" ht="6.75" customHeight="1" thickBot="1">
      <c r="A45" s="101"/>
      <c r="B45" s="157"/>
      <c r="C45" s="157"/>
      <c r="D45" s="157"/>
      <c r="E45" s="157"/>
      <c r="F45" s="157"/>
      <c r="G45" s="157"/>
      <c r="J45" s="53"/>
      <c r="M45" s="157"/>
      <c r="N45" s="157"/>
      <c r="O45" s="157"/>
      <c r="P45" s="158"/>
      <c r="Q45" s="158"/>
      <c r="R45" s="159"/>
      <c r="S45" s="160"/>
      <c r="V45" s="53"/>
      <c r="X45" s="157"/>
      <c r="Y45" s="157"/>
      <c r="Z45" s="157"/>
      <c r="AA45" s="158"/>
      <c r="AB45" s="159"/>
      <c r="AC45" s="160"/>
    </row>
    <row r="46" spans="1:52" s="22" customFormat="1" ht="70.150000000000006" customHeight="1" thickBot="1">
      <c r="A46" s="87" t="s">
        <v>188</v>
      </c>
      <c r="B46" s="130">
        <v>1</v>
      </c>
      <c r="C46" s="130">
        <v>1</v>
      </c>
      <c r="D46" s="130">
        <v>1</v>
      </c>
      <c r="E46" s="130">
        <v>1</v>
      </c>
      <c r="F46" s="130">
        <f>AVERAGE(B46:E46)</f>
        <v>1</v>
      </c>
      <c r="G46" s="130">
        <v>1</v>
      </c>
      <c r="J46" s="102" t="s">
        <v>18</v>
      </c>
      <c r="M46" s="130">
        <v>1</v>
      </c>
      <c r="N46" s="130">
        <v>1</v>
      </c>
      <c r="O46" s="130">
        <v>1</v>
      </c>
      <c r="P46" s="131">
        <v>1</v>
      </c>
      <c r="Q46" s="154">
        <v>1</v>
      </c>
      <c r="R46" s="93">
        <f>AVERAGE(M46:Q46)</f>
        <v>1</v>
      </c>
      <c r="S46" s="94">
        <v>1</v>
      </c>
      <c r="V46" s="102" t="s">
        <v>18</v>
      </c>
      <c r="X46" s="130">
        <v>1</v>
      </c>
      <c r="Y46" s="130">
        <v>1</v>
      </c>
      <c r="Z46" s="130">
        <v>1</v>
      </c>
      <c r="AA46" s="132">
        <v>1</v>
      </c>
      <c r="AB46" s="93">
        <f>AVERAGE(X46:AA46)</f>
        <v>1</v>
      </c>
      <c r="AC46" s="94">
        <v>1</v>
      </c>
      <c r="AD46" s="230" t="s">
        <v>18</v>
      </c>
    </row>
    <row r="47" spans="1:52" s="53" customFormat="1" ht="19.5" customHeight="1" thickBot="1">
      <c r="A47" s="95"/>
    </row>
    <row r="48" spans="1:52" s="22" customFormat="1" ht="47.25" customHeight="1" thickTop="1">
      <c r="A48" s="101" t="s">
        <v>189</v>
      </c>
      <c r="B48" s="85" t="s">
        <v>163</v>
      </c>
      <c r="C48" s="85" t="s">
        <v>63</v>
      </c>
      <c r="D48" s="85" t="s">
        <v>64</v>
      </c>
      <c r="E48" s="85" t="s">
        <v>65</v>
      </c>
      <c r="F48" s="85" t="s">
        <v>38</v>
      </c>
      <c r="G48" s="85" t="s">
        <v>14</v>
      </c>
      <c r="J48" s="53"/>
      <c r="M48" s="85" t="s">
        <v>163</v>
      </c>
      <c r="N48" s="85" t="s">
        <v>63</v>
      </c>
      <c r="O48" s="85" t="s">
        <v>64</v>
      </c>
      <c r="P48" s="85" t="s">
        <v>65</v>
      </c>
      <c r="Q48" s="86" t="s">
        <v>66</v>
      </c>
      <c r="R48" s="2" t="s">
        <v>38</v>
      </c>
      <c r="S48" s="49" t="s">
        <v>14</v>
      </c>
      <c r="V48" s="53"/>
      <c r="X48" s="85" t="s">
        <v>64</v>
      </c>
      <c r="Y48" s="85" t="s">
        <v>65</v>
      </c>
      <c r="Z48" s="85" t="s">
        <v>66</v>
      </c>
      <c r="AA48" s="85" t="s">
        <v>67</v>
      </c>
      <c r="AB48" s="2" t="s">
        <v>38</v>
      </c>
      <c r="AC48" s="49" t="s">
        <v>237</v>
      </c>
    </row>
    <row r="49" spans="1:30" s="22" customFormat="1" ht="6.95" customHeight="1" thickBot="1">
      <c r="A49" s="1"/>
      <c r="B49" s="26"/>
      <c r="C49" s="26"/>
      <c r="D49" s="26"/>
      <c r="E49" s="26"/>
      <c r="F49" s="26"/>
      <c r="G49" s="26"/>
      <c r="J49" s="53"/>
      <c r="M49" s="26"/>
      <c r="N49" s="26"/>
      <c r="O49" s="50"/>
      <c r="P49" s="161"/>
      <c r="Q49" s="50"/>
      <c r="R49" s="50"/>
      <c r="S49" s="50"/>
      <c r="V49" s="53"/>
      <c r="X49" s="26"/>
      <c r="Y49" s="26"/>
      <c r="Z49" s="50"/>
      <c r="AA49" s="161"/>
      <c r="AB49" s="50"/>
      <c r="AC49" s="50"/>
    </row>
    <row r="50" spans="1:30" s="22" customFormat="1" ht="70.150000000000006" customHeight="1" thickTop="1" thickBot="1">
      <c r="A50" s="87" t="s">
        <v>190</v>
      </c>
      <c r="B50" s="162">
        <v>0.4</v>
      </c>
      <c r="C50" s="162">
        <v>0.15</v>
      </c>
      <c r="D50" s="162">
        <v>0.01</v>
      </c>
      <c r="E50" s="162">
        <v>0</v>
      </c>
      <c r="F50" s="162">
        <f>AVERAGE(B50:E50)</f>
        <v>0.14000000000000001</v>
      </c>
      <c r="G50" s="162">
        <v>0</v>
      </c>
      <c r="I50" s="53"/>
      <c r="J50" s="102" t="s">
        <v>18</v>
      </c>
      <c r="M50" s="162">
        <v>0.4</v>
      </c>
      <c r="N50" s="162">
        <v>0.15</v>
      </c>
      <c r="O50" s="163">
        <v>0.01</v>
      </c>
      <c r="P50" s="164">
        <v>0</v>
      </c>
      <c r="Q50" s="165">
        <v>0</v>
      </c>
      <c r="R50" s="93">
        <f>AVERAGE(M50:P50)</f>
        <v>0.14000000000000001</v>
      </c>
      <c r="S50" s="94">
        <v>0</v>
      </c>
      <c r="U50" s="53"/>
      <c r="V50" s="102" t="s">
        <v>18</v>
      </c>
      <c r="X50" s="163">
        <v>0.01</v>
      </c>
      <c r="Y50" s="164">
        <v>0</v>
      </c>
      <c r="Z50" s="163">
        <v>0</v>
      </c>
      <c r="AA50" s="150">
        <v>0</v>
      </c>
      <c r="AB50" s="93">
        <f>AVERAGE(X50:AA50)</f>
        <v>2.5000000000000001E-3</v>
      </c>
      <c r="AC50" s="94">
        <v>0</v>
      </c>
      <c r="AD50" s="230" t="s">
        <v>18</v>
      </c>
    </row>
    <row r="51" spans="1:30" s="22" customFormat="1" ht="21.75" customHeight="1" thickTop="1" thickBot="1">
      <c r="J51" s="53"/>
      <c r="V51" s="53"/>
    </row>
    <row r="52" spans="1:30" s="22" customFormat="1" ht="27" customHeight="1" thickTop="1">
      <c r="A52" s="101" t="s">
        <v>191</v>
      </c>
      <c r="B52" s="85" t="s">
        <v>163</v>
      </c>
      <c r="C52" s="85" t="s">
        <v>63</v>
      </c>
      <c r="D52" s="85" t="s">
        <v>64</v>
      </c>
      <c r="E52" s="85" t="s">
        <v>65</v>
      </c>
      <c r="F52" s="85" t="s">
        <v>38</v>
      </c>
      <c r="G52" s="85" t="s">
        <v>14</v>
      </c>
      <c r="J52" s="53"/>
      <c r="M52" s="85" t="s">
        <v>163</v>
      </c>
      <c r="N52" s="85" t="s">
        <v>63</v>
      </c>
      <c r="O52" s="85" t="s">
        <v>64</v>
      </c>
      <c r="P52" s="85" t="s">
        <v>65</v>
      </c>
      <c r="Q52" s="86" t="s">
        <v>66</v>
      </c>
      <c r="R52" s="2" t="s">
        <v>38</v>
      </c>
      <c r="S52" s="49" t="s">
        <v>14</v>
      </c>
      <c r="V52" s="53"/>
      <c r="X52" s="85" t="s">
        <v>64</v>
      </c>
      <c r="Y52" s="85" t="s">
        <v>65</v>
      </c>
      <c r="Z52" s="85" t="s">
        <v>66</v>
      </c>
      <c r="AA52" s="85" t="s">
        <v>67</v>
      </c>
      <c r="AB52" s="2" t="s">
        <v>38</v>
      </c>
      <c r="AC52" s="49" t="s">
        <v>237</v>
      </c>
    </row>
    <row r="53" spans="1:30" s="22" customFormat="1" ht="6.95" customHeight="1" thickBot="1">
      <c r="A53" s="1"/>
      <c r="B53" s="26"/>
      <c r="C53" s="26"/>
      <c r="D53" s="26"/>
      <c r="E53" s="26"/>
      <c r="F53" s="26"/>
      <c r="G53" s="26"/>
      <c r="J53" s="53"/>
      <c r="M53" s="26"/>
      <c r="N53" s="26"/>
      <c r="O53" s="50"/>
      <c r="P53" s="50"/>
      <c r="Q53" s="50"/>
      <c r="R53" s="50"/>
      <c r="S53" s="50"/>
      <c r="V53" s="53"/>
      <c r="X53" s="26"/>
      <c r="Y53" s="26"/>
      <c r="Z53" s="50"/>
      <c r="AA53" s="50"/>
      <c r="AB53" s="50"/>
      <c r="AC53" s="50"/>
    </row>
    <row r="54" spans="1:30" s="22" customFormat="1" ht="60.75" customHeight="1" thickBot="1">
      <c r="A54" s="87" t="s">
        <v>192</v>
      </c>
      <c r="B54" s="166">
        <v>0</v>
      </c>
      <c r="C54" s="166">
        <v>0</v>
      </c>
      <c r="D54" s="166">
        <v>0</v>
      </c>
      <c r="E54" s="166">
        <v>0</v>
      </c>
      <c r="F54" s="166">
        <f>AVERAGE(B54:E54)</f>
        <v>0</v>
      </c>
      <c r="G54" s="166">
        <v>0</v>
      </c>
      <c r="J54" s="102" t="s">
        <v>18</v>
      </c>
      <c r="M54" s="166">
        <v>0</v>
      </c>
      <c r="N54" s="166">
        <v>0</v>
      </c>
      <c r="O54" s="166">
        <v>0</v>
      </c>
      <c r="P54" s="6">
        <v>0</v>
      </c>
      <c r="Q54" s="114">
        <v>0</v>
      </c>
      <c r="R54" s="167">
        <f>AVERAGE(M54:Q54)</f>
        <v>0</v>
      </c>
      <c r="S54" s="168">
        <v>0</v>
      </c>
      <c r="V54" s="102" t="s">
        <v>18</v>
      </c>
      <c r="X54" s="166">
        <v>0</v>
      </c>
      <c r="Y54" s="166">
        <v>0</v>
      </c>
      <c r="Z54" s="166">
        <v>0</v>
      </c>
      <c r="AA54" s="45">
        <v>0</v>
      </c>
      <c r="AB54" s="167">
        <f>AVERAGE(X54:AA54)</f>
        <v>0</v>
      </c>
      <c r="AC54" s="168">
        <v>0</v>
      </c>
      <c r="AD54" s="230" t="s">
        <v>18</v>
      </c>
    </row>
    <row r="55" spans="1:30" s="22" customFormat="1" ht="33" customHeight="1" thickBot="1">
      <c r="J55" s="53"/>
      <c r="V55" s="53"/>
    </row>
    <row r="56" spans="1:30" s="22" customFormat="1" ht="70.5" customHeight="1" thickTop="1">
      <c r="A56" s="101" t="s">
        <v>193</v>
      </c>
      <c r="B56" s="85" t="s">
        <v>163</v>
      </c>
      <c r="C56" s="85" t="s">
        <v>63</v>
      </c>
      <c r="D56" s="85" t="s">
        <v>64</v>
      </c>
      <c r="E56" s="85" t="s">
        <v>65</v>
      </c>
      <c r="F56" s="85" t="s">
        <v>38</v>
      </c>
      <c r="G56" s="85" t="s">
        <v>14</v>
      </c>
      <c r="J56" s="53"/>
      <c r="M56" s="85" t="s">
        <v>163</v>
      </c>
      <c r="N56" s="85" t="s">
        <v>63</v>
      </c>
      <c r="O56" s="85" t="s">
        <v>64</v>
      </c>
      <c r="P56" s="85" t="s">
        <v>65</v>
      </c>
      <c r="Q56" s="86" t="s">
        <v>66</v>
      </c>
      <c r="R56" s="2" t="s">
        <v>38</v>
      </c>
      <c r="S56" s="49" t="s">
        <v>14</v>
      </c>
      <c r="V56" s="53"/>
      <c r="X56" s="85" t="s">
        <v>64</v>
      </c>
      <c r="Y56" s="85" t="s">
        <v>65</v>
      </c>
      <c r="Z56" s="85" t="s">
        <v>66</v>
      </c>
      <c r="AA56" s="85" t="s">
        <v>67</v>
      </c>
      <c r="AB56" s="2" t="s">
        <v>38</v>
      </c>
      <c r="AC56" s="49" t="s">
        <v>237</v>
      </c>
    </row>
    <row r="57" spans="1:30" s="22" customFormat="1" ht="6.95" customHeight="1" thickBot="1">
      <c r="A57" s="1"/>
      <c r="B57" s="26"/>
      <c r="C57" s="26"/>
      <c r="D57" s="26"/>
      <c r="E57" s="26"/>
      <c r="F57" s="26"/>
      <c r="G57" s="26"/>
      <c r="J57" s="53"/>
      <c r="M57" s="26"/>
      <c r="N57" s="26"/>
      <c r="O57" s="50"/>
      <c r="P57" s="161"/>
      <c r="Q57" s="50"/>
      <c r="R57" s="50"/>
      <c r="S57" s="50"/>
      <c r="V57" s="53"/>
      <c r="X57" s="26"/>
      <c r="Y57" s="26"/>
      <c r="Z57" s="50"/>
      <c r="AA57" s="161"/>
      <c r="AB57" s="50"/>
      <c r="AC57" s="50"/>
    </row>
    <row r="58" spans="1:30" s="22" customFormat="1" ht="58.5" customHeight="1" thickBot="1">
      <c r="A58" s="87" t="s">
        <v>194</v>
      </c>
      <c r="B58" s="169">
        <v>0.9</v>
      </c>
      <c r="C58" s="169">
        <v>0.94</v>
      </c>
      <c r="D58" s="169">
        <v>0.96</v>
      </c>
      <c r="E58" s="169">
        <v>1</v>
      </c>
      <c r="F58" s="169">
        <f>AVERAGE(B58:E58)</f>
        <v>0.95</v>
      </c>
      <c r="G58" s="169" t="s">
        <v>195</v>
      </c>
      <c r="J58" s="102" t="s">
        <v>18</v>
      </c>
      <c r="M58" s="169">
        <v>0.9</v>
      </c>
      <c r="N58" s="169">
        <v>0.94</v>
      </c>
      <c r="O58" s="169">
        <v>0.96</v>
      </c>
      <c r="P58" s="170">
        <v>1</v>
      </c>
      <c r="Q58" s="171">
        <v>1</v>
      </c>
      <c r="R58" s="93">
        <f>AVERAGE(M58:Q58)</f>
        <v>0.96</v>
      </c>
      <c r="S58" s="122" t="s">
        <v>195</v>
      </c>
      <c r="V58" s="102" t="s">
        <v>18</v>
      </c>
      <c r="X58" s="169">
        <v>0.96</v>
      </c>
      <c r="Y58" s="170">
        <v>1</v>
      </c>
      <c r="Z58" s="169">
        <v>1</v>
      </c>
      <c r="AA58" s="311">
        <v>1</v>
      </c>
      <c r="AB58" s="93">
        <f>AVERAGE(X58:AA58)</f>
        <v>0.99</v>
      </c>
      <c r="AC58" s="122">
        <v>1</v>
      </c>
      <c r="AD58" s="186" t="s">
        <v>287</v>
      </c>
    </row>
    <row r="59" spans="1:30" s="22" customFormat="1" ht="48" customHeight="1" thickBot="1">
      <c r="J59" s="53"/>
      <c r="V59" s="53"/>
    </row>
    <row r="60" spans="1:30" s="22" customFormat="1" ht="27" customHeight="1" thickTop="1">
      <c r="A60" s="101" t="s">
        <v>196</v>
      </c>
      <c r="B60" s="85" t="s">
        <v>163</v>
      </c>
      <c r="C60" s="85" t="s">
        <v>63</v>
      </c>
      <c r="D60" s="85" t="s">
        <v>64</v>
      </c>
      <c r="E60" s="85" t="s">
        <v>65</v>
      </c>
      <c r="F60" s="85" t="s">
        <v>38</v>
      </c>
      <c r="G60" s="85" t="s">
        <v>14</v>
      </c>
      <c r="J60" s="53"/>
      <c r="M60" s="85" t="s">
        <v>163</v>
      </c>
      <c r="N60" s="85" t="s">
        <v>63</v>
      </c>
      <c r="O60" s="85" t="s">
        <v>64</v>
      </c>
      <c r="P60" s="85" t="s">
        <v>65</v>
      </c>
      <c r="Q60" s="86" t="s">
        <v>66</v>
      </c>
      <c r="R60" s="2" t="s">
        <v>38</v>
      </c>
      <c r="S60" s="49" t="s">
        <v>14</v>
      </c>
      <c r="V60" s="53"/>
      <c r="X60" s="85" t="s">
        <v>64</v>
      </c>
      <c r="Y60" s="85" t="s">
        <v>65</v>
      </c>
      <c r="Z60" s="85" t="s">
        <v>66</v>
      </c>
      <c r="AA60" s="85" t="s">
        <v>67</v>
      </c>
      <c r="AB60" s="2" t="s">
        <v>38</v>
      </c>
      <c r="AC60" s="49" t="s">
        <v>237</v>
      </c>
    </row>
    <row r="61" spans="1:30" s="22" customFormat="1" ht="6.95" customHeight="1" thickBot="1">
      <c r="A61" s="1"/>
      <c r="B61" s="26"/>
      <c r="C61" s="26"/>
      <c r="D61" s="26"/>
      <c r="E61" s="26"/>
      <c r="F61" s="26"/>
      <c r="G61" s="26"/>
      <c r="J61" s="53"/>
      <c r="M61" s="26"/>
      <c r="N61" s="26"/>
      <c r="O61" s="50"/>
      <c r="P61" s="161"/>
      <c r="Q61" s="50"/>
      <c r="R61" s="50"/>
      <c r="S61" s="50"/>
      <c r="V61" s="53"/>
      <c r="X61" s="26"/>
      <c r="Y61" s="26"/>
      <c r="Z61" s="50"/>
      <c r="AA61" s="161"/>
      <c r="AB61" s="50"/>
      <c r="AC61" s="50"/>
    </row>
    <row r="62" spans="1:30" s="22" customFormat="1" ht="70.150000000000006" customHeight="1" thickBot="1">
      <c r="A62" s="87" t="s">
        <v>197</v>
      </c>
      <c r="B62" s="172">
        <v>30</v>
      </c>
      <c r="C62" s="172">
        <v>9</v>
      </c>
      <c r="D62" s="172">
        <v>0</v>
      </c>
      <c r="E62" s="172">
        <v>0</v>
      </c>
      <c r="F62" s="172">
        <f>AVERAGE(B62:E62)</f>
        <v>9.75</v>
      </c>
      <c r="G62" s="172" t="s">
        <v>174</v>
      </c>
      <c r="J62" s="102" t="s">
        <v>18</v>
      </c>
      <c r="M62" s="172">
        <v>30</v>
      </c>
      <c r="N62" s="172">
        <v>9</v>
      </c>
      <c r="O62" s="172">
        <v>0</v>
      </c>
      <c r="P62" s="173">
        <v>0</v>
      </c>
      <c r="Q62" s="174">
        <v>0</v>
      </c>
      <c r="R62" s="175">
        <f>AVERAGE(M62:Q62)</f>
        <v>7.8</v>
      </c>
      <c r="S62" s="122" t="s">
        <v>174</v>
      </c>
      <c r="V62" s="102" t="s">
        <v>18</v>
      </c>
      <c r="X62" s="172">
        <v>0</v>
      </c>
      <c r="Y62" s="172">
        <v>0</v>
      </c>
      <c r="Z62" s="172">
        <v>0</v>
      </c>
      <c r="AA62" s="312">
        <v>0</v>
      </c>
      <c r="AB62" s="175">
        <f>AVERAGE(X62:AA62)</f>
        <v>0</v>
      </c>
      <c r="AC62" s="168">
        <v>0</v>
      </c>
      <c r="AD62" s="230" t="s">
        <v>18</v>
      </c>
    </row>
    <row r="63" spans="1:30" s="22" customFormat="1" ht="48" customHeight="1" thickBot="1">
      <c r="J63" s="53"/>
      <c r="U63" s="53"/>
    </row>
    <row r="64" spans="1:30" s="22" customFormat="1" ht="27" customHeight="1" thickTop="1">
      <c r="A64" s="101" t="s">
        <v>198</v>
      </c>
      <c r="B64" s="85" t="s">
        <v>63</v>
      </c>
      <c r="C64" s="85" t="s">
        <v>64</v>
      </c>
      <c r="D64" s="85" t="s">
        <v>65</v>
      </c>
      <c r="E64" s="85" t="s">
        <v>66</v>
      </c>
      <c r="F64" s="85" t="s">
        <v>38</v>
      </c>
      <c r="G64" s="85" t="s">
        <v>14</v>
      </c>
      <c r="J64" s="53"/>
      <c r="M64" s="85" t="s">
        <v>63</v>
      </c>
      <c r="N64" s="85" t="s">
        <v>64</v>
      </c>
      <c r="O64" s="85" t="s">
        <v>65</v>
      </c>
      <c r="P64" s="85" t="s">
        <v>66</v>
      </c>
      <c r="Q64" s="2" t="s">
        <v>38</v>
      </c>
      <c r="R64" s="49" t="s">
        <v>14</v>
      </c>
      <c r="U64" s="53"/>
      <c r="X64" s="85" t="s">
        <v>64</v>
      </c>
      <c r="Y64" s="85" t="s">
        <v>65</v>
      </c>
      <c r="Z64" s="85" t="s">
        <v>66</v>
      </c>
      <c r="AA64" s="85" t="s">
        <v>67</v>
      </c>
      <c r="AB64" s="2" t="s">
        <v>38</v>
      </c>
      <c r="AC64" s="49" t="s">
        <v>237</v>
      </c>
    </row>
    <row r="65" spans="1:30" s="22" customFormat="1" ht="6.95" customHeight="1" thickBot="1">
      <c r="A65" s="1"/>
      <c r="B65" s="26"/>
      <c r="C65" s="26"/>
      <c r="D65" s="26"/>
      <c r="E65" s="26"/>
      <c r="F65" s="26"/>
      <c r="G65" s="26"/>
      <c r="J65" s="53"/>
      <c r="M65" s="26"/>
      <c r="N65" s="26"/>
      <c r="O65" s="50"/>
      <c r="P65" s="161"/>
      <c r="Q65" s="50"/>
      <c r="R65" s="50"/>
      <c r="U65" s="53"/>
      <c r="X65" s="26"/>
      <c r="Y65" s="26"/>
      <c r="Z65" s="50"/>
      <c r="AA65" s="161"/>
      <c r="AB65" s="50"/>
      <c r="AC65" s="50"/>
    </row>
    <row r="66" spans="1:30" s="22" customFormat="1" ht="70.150000000000006" customHeight="1" thickBot="1">
      <c r="A66" s="87" t="s">
        <v>199</v>
      </c>
      <c r="B66" s="176">
        <v>5</v>
      </c>
      <c r="C66" s="176">
        <v>3</v>
      </c>
      <c r="D66" s="176">
        <v>6</v>
      </c>
      <c r="E66" s="176"/>
      <c r="F66" s="176">
        <f>AVERAGE(B66:E66)</f>
        <v>4.666666666666667</v>
      </c>
      <c r="G66" s="176" t="s">
        <v>200</v>
      </c>
      <c r="J66" s="177"/>
      <c r="M66" s="176">
        <v>5</v>
      </c>
      <c r="N66" s="176">
        <v>3</v>
      </c>
      <c r="O66" s="176">
        <v>6</v>
      </c>
      <c r="P66" s="45">
        <v>2</v>
      </c>
      <c r="Q66" s="167">
        <f>AVERAGE(M66:P66)</f>
        <v>4</v>
      </c>
      <c r="R66" s="122" t="s">
        <v>200</v>
      </c>
      <c r="U66" s="102"/>
      <c r="X66" s="176">
        <v>3</v>
      </c>
      <c r="Y66" s="176">
        <v>6</v>
      </c>
      <c r="Z66" s="176">
        <v>2</v>
      </c>
      <c r="AA66" s="45">
        <v>3</v>
      </c>
      <c r="AB66" s="167">
        <f>AVERAGE(X66:AA66)</f>
        <v>3.5</v>
      </c>
      <c r="AC66" s="122" t="s">
        <v>286</v>
      </c>
      <c r="AD66" s="186" t="s">
        <v>139</v>
      </c>
    </row>
    <row r="67" spans="1:30" s="22" customFormat="1" ht="48" customHeight="1" thickBot="1">
      <c r="J67" s="53"/>
      <c r="U67" s="53"/>
    </row>
    <row r="68" spans="1:30" s="22" customFormat="1" ht="70.5" customHeight="1" thickTop="1">
      <c r="A68" s="101" t="s">
        <v>201</v>
      </c>
      <c r="B68" s="85" t="s">
        <v>163</v>
      </c>
      <c r="C68" s="85" t="s">
        <v>63</v>
      </c>
      <c r="D68" s="85" t="s">
        <v>64</v>
      </c>
      <c r="E68" s="85" t="s">
        <v>65</v>
      </c>
      <c r="F68" s="85" t="s">
        <v>38</v>
      </c>
      <c r="G68" s="85" t="s">
        <v>14</v>
      </c>
      <c r="J68" s="53"/>
      <c r="M68" s="85" t="s">
        <v>163</v>
      </c>
      <c r="N68" s="85" t="s">
        <v>63</v>
      </c>
      <c r="O68" s="85" t="s">
        <v>64</v>
      </c>
      <c r="P68" s="85" t="s">
        <v>65</v>
      </c>
      <c r="Q68" s="86" t="s">
        <v>66</v>
      </c>
      <c r="R68" s="2" t="s">
        <v>38</v>
      </c>
      <c r="S68" s="49" t="s">
        <v>14</v>
      </c>
      <c r="V68" s="53"/>
      <c r="X68" s="85" t="s">
        <v>64</v>
      </c>
      <c r="Y68" s="85" t="s">
        <v>65</v>
      </c>
      <c r="Z68" s="85" t="s">
        <v>66</v>
      </c>
      <c r="AA68" s="85" t="s">
        <v>67</v>
      </c>
      <c r="AB68" s="2" t="s">
        <v>38</v>
      </c>
      <c r="AC68" s="49" t="s">
        <v>237</v>
      </c>
    </row>
    <row r="69" spans="1:30" s="22" customFormat="1" ht="6.95" customHeight="1" thickBot="1">
      <c r="A69" s="1"/>
      <c r="B69" s="26"/>
      <c r="C69" s="26"/>
      <c r="D69" s="26"/>
      <c r="E69" s="26"/>
      <c r="F69" s="26"/>
      <c r="G69" s="26"/>
      <c r="J69" s="53"/>
      <c r="M69" s="26"/>
      <c r="N69" s="26"/>
      <c r="O69" s="50"/>
      <c r="P69" s="50"/>
      <c r="Q69" s="50"/>
      <c r="R69" s="50"/>
      <c r="S69" s="50"/>
      <c r="V69" s="53"/>
      <c r="X69" s="26"/>
      <c r="Y69" s="26"/>
      <c r="Z69" s="50"/>
      <c r="AA69" s="50"/>
      <c r="AB69" s="50"/>
      <c r="AC69" s="50"/>
    </row>
    <row r="70" spans="1:30" s="22" customFormat="1" ht="70.150000000000006" customHeight="1" thickBot="1">
      <c r="A70" s="87" t="s">
        <v>202</v>
      </c>
      <c r="B70" s="176">
        <v>0</v>
      </c>
      <c r="C70" s="176">
        <v>1</v>
      </c>
      <c r="D70" s="176">
        <v>0</v>
      </c>
      <c r="E70" s="176">
        <v>0</v>
      </c>
      <c r="F70" s="176">
        <f>AVERAGE(B70:E70)</f>
        <v>0.25</v>
      </c>
      <c r="G70" s="176">
        <v>0</v>
      </c>
      <c r="J70" s="102" t="s">
        <v>18</v>
      </c>
      <c r="M70" s="176">
        <v>0</v>
      </c>
      <c r="N70" s="176">
        <v>1</v>
      </c>
      <c r="O70" s="176">
        <v>0</v>
      </c>
      <c r="P70" s="6">
        <v>0</v>
      </c>
      <c r="Q70" s="178">
        <v>0</v>
      </c>
      <c r="R70" s="167">
        <f>AVERAGE(M70:Q70)</f>
        <v>0.2</v>
      </c>
      <c r="S70" s="122">
        <v>0</v>
      </c>
      <c r="V70" s="102" t="s">
        <v>18</v>
      </c>
      <c r="X70" s="176">
        <v>0</v>
      </c>
      <c r="Y70" s="176">
        <v>0</v>
      </c>
      <c r="Z70" s="176">
        <v>0</v>
      </c>
      <c r="AA70" s="45">
        <v>0</v>
      </c>
      <c r="AB70" s="167">
        <f>AVERAGE(X70:AA70)</f>
        <v>0</v>
      </c>
      <c r="AC70" s="122">
        <v>0</v>
      </c>
      <c r="AD70" s="230" t="s">
        <v>18</v>
      </c>
    </row>
    <row r="71" spans="1:30" s="53" customFormat="1" ht="11.25" customHeight="1" thickBot="1">
      <c r="A71" s="95"/>
      <c r="B71" s="179"/>
      <c r="C71" s="179"/>
      <c r="D71" s="179"/>
      <c r="E71" s="179"/>
      <c r="F71" s="179"/>
      <c r="G71" s="179"/>
      <c r="M71" s="179"/>
      <c r="N71" s="180"/>
      <c r="O71" s="180"/>
      <c r="P71" s="180"/>
      <c r="Q71" s="180"/>
      <c r="R71" s="181"/>
      <c r="S71" s="128"/>
      <c r="X71" s="179"/>
      <c r="Y71" s="180"/>
      <c r="Z71" s="180"/>
      <c r="AA71" s="180"/>
      <c r="AB71" s="181"/>
      <c r="AC71" s="128"/>
    </row>
    <row r="72" spans="1:30" s="22" customFormat="1" ht="70.150000000000006" customHeight="1" thickBot="1">
      <c r="A72" s="87" t="s">
        <v>203</v>
      </c>
      <c r="B72" s="182"/>
      <c r="C72" s="182"/>
      <c r="D72" s="182">
        <v>0.76</v>
      </c>
      <c r="E72" s="182">
        <v>0.88</v>
      </c>
      <c r="F72" s="182">
        <f>AVERAGE(B72:E72)</f>
        <v>0.82000000000000006</v>
      </c>
      <c r="G72" s="182">
        <v>0.8</v>
      </c>
      <c r="J72" s="102" t="s">
        <v>18</v>
      </c>
      <c r="M72" s="182"/>
      <c r="N72" s="169"/>
      <c r="O72" s="169">
        <v>0.76</v>
      </c>
      <c r="P72" s="170">
        <v>0.88</v>
      </c>
      <c r="Q72" s="171">
        <v>0.93</v>
      </c>
      <c r="R72" s="93">
        <f>AVERAGE(M72:P72)</f>
        <v>0.82000000000000006</v>
      </c>
      <c r="S72" s="183">
        <v>0.8</v>
      </c>
      <c r="V72" s="102" t="s">
        <v>18</v>
      </c>
      <c r="X72" s="169">
        <v>0.76</v>
      </c>
      <c r="Y72" s="170">
        <v>0.88</v>
      </c>
      <c r="Z72" s="169">
        <f>(98+90+94+88)/400</f>
        <v>0.92500000000000004</v>
      </c>
      <c r="AA72" s="311">
        <f>(99.67+94+98+97)/400</f>
        <v>0.97167500000000007</v>
      </c>
      <c r="AB72" s="93">
        <f>AVERAGE(X72:AA72)</f>
        <v>0.88416875000000017</v>
      </c>
      <c r="AC72" s="122">
        <v>0.95</v>
      </c>
      <c r="AD72" s="230" t="s">
        <v>122</v>
      </c>
    </row>
    <row r="73" spans="1:30" s="22" customFormat="1" ht="48" customHeight="1" thickBot="1">
      <c r="J73" s="53"/>
      <c r="V73" s="53"/>
    </row>
    <row r="74" spans="1:30" s="22" customFormat="1" ht="47.25" customHeight="1" thickTop="1">
      <c r="A74" s="101" t="s">
        <v>204</v>
      </c>
      <c r="B74" s="85" t="s">
        <v>163</v>
      </c>
      <c r="C74" s="85" t="s">
        <v>63</v>
      </c>
      <c r="D74" s="85" t="s">
        <v>64</v>
      </c>
      <c r="E74" s="85" t="s">
        <v>65</v>
      </c>
      <c r="F74" s="85" t="s">
        <v>38</v>
      </c>
      <c r="G74" s="85" t="s">
        <v>14</v>
      </c>
      <c r="J74" s="53"/>
      <c r="M74" s="85" t="s">
        <v>163</v>
      </c>
      <c r="N74" s="85" t="s">
        <v>63</v>
      </c>
      <c r="O74" s="85" t="s">
        <v>64</v>
      </c>
      <c r="P74" s="85" t="s">
        <v>65</v>
      </c>
      <c r="Q74" s="86" t="s">
        <v>66</v>
      </c>
      <c r="R74" s="2" t="s">
        <v>38</v>
      </c>
      <c r="S74" s="49" t="s">
        <v>14</v>
      </c>
      <c r="V74" s="53"/>
      <c r="X74" s="85" t="s">
        <v>64</v>
      </c>
      <c r="Y74" s="85" t="s">
        <v>65</v>
      </c>
      <c r="Z74" s="85" t="s">
        <v>66</v>
      </c>
      <c r="AA74" s="85" t="s">
        <v>67</v>
      </c>
      <c r="AB74" s="2" t="s">
        <v>38</v>
      </c>
      <c r="AC74" s="49" t="s">
        <v>237</v>
      </c>
    </row>
    <row r="75" spans="1:30" s="22" customFormat="1" ht="6.95" customHeight="1" thickBot="1">
      <c r="A75" s="1"/>
      <c r="B75" s="26"/>
      <c r="C75" s="26"/>
      <c r="D75" s="26"/>
      <c r="E75" s="26"/>
      <c r="F75" s="26"/>
      <c r="G75" s="26"/>
      <c r="J75" s="53"/>
      <c r="M75" s="26"/>
      <c r="N75" s="26"/>
      <c r="O75" s="50"/>
      <c r="P75" s="50"/>
      <c r="Q75" s="50"/>
      <c r="R75" s="50"/>
      <c r="S75" s="50"/>
      <c r="V75" s="53"/>
      <c r="X75" s="26"/>
      <c r="Y75" s="26"/>
      <c r="Z75" s="50"/>
      <c r="AA75" s="50"/>
      <c r="AB75" s="50"/>
      <c r="AC75" s="50"/>
    </row>
    <row r="76" spans="1:30" s="22" customFormat="1" ht="70.150000000000006" customHeight="1" thickBot="1">
      <c r="A76" s="87" t="s">
        <v>205</v>
      </c>
      <c r="B76" s="182"/>
      <c r="C76" s="182">
        <v>0.9</v>
      </c>
      <c r="D76" s="182">
        <v>1</v>
      </c>
      <c r="E76" s="182">
        <v>1</v>
      </c>
      <c r="F76" s="182">
        <f>AVERAGE(B76:D76)</f>
        <v>0.95</v>
      </c>
      <c r="G76" s="182">
        <v>1</v>
      </c>
      <c r="J76" s="102" t="s">
        <v>18</v>
      </c>
      <c r="M76" s="182"/>
      <c r="N76" s="118">
        <v>0.9</v>
      </c>
      <c r="O76" s="118">
        <v>1</v>
      </c>
      <c r="P76" s="184">
        <v>1</v>
      </c>
      <c r="Q76" s="120">
        <v>1</v>
      </c>
      <c r="R76" s="108">
        <f>AVERAGE(M76:O76)</f>
        <v>0.95</v>
      </c>
      <c r="S76" s="122">
        <v>1</v>
      </c>
      <c r="V76" s="102" t="s">
        <v>18</v>
      </c>
      <c r="X76" s="118">
        <v>1</v>
      </c>
      <c r="Y76" s="118">
        <v>1</v>
      </c>
      <c r="Z76" s="118">
        <v>1</v>
      </c>
      <c r="AA76" s="119">
        <v>1</v>
      </c>
      <c r="AB76" s="108">
        <f>AVERAGE(X76:Z76)</f>
        <v>1</v>
      </c>
      <c r="AC76" s="122">
        <v>1</v>
      </c>
      <c r="AD76" s="230" t="s">
        <v>18</v>
      </c>
    </row>
    <row r="77" spans="1:30" s="22" customFormat="1" ht="48" customHeight="1" thickBot="1">
      <c r="J77" s="53"/>
      <c r="V77" s="53"/>
    </row>
    <row r="78" spans="1:30" s="22" customFormat="1" ht="70.5" customHeight="1" thickTop="1">
      <c r="A78" s="101" t="s">
        <v>206</v>
      </c>
      <c r="B78" s="85" t="s">
        <v>163</v>
      </c>
      <c r="C78" s="85" t="s">
        <v>63</v>
      </c>
      <c r="D78" s="85" t="s">
        <v>64</v>
      </c>
      <c r="E78" s="85" t="s">
        <v>65</v>
      </c>
      <c r="F78" s="85" t="s">
        <v>38</v>
      </c>
      <c r="G78" s="85" t="s">
        <v>14</v>
      </c>
      <c r="J78" s="53"/>
      <c r="M78" s="85" t="s">
        <v>163</v>
      </c>
      <c r="N78" s="85" t="s">
        <v>63</v>
      </c>
      <c r="O78" s="85" t="s">
        <v>64</v>
      </c>
      <c r="P78" s="85" t="s">
        <v>65</v>
      </c>
      <c r="Q78" s="86" t="s">
        <v>66</v>
      </c>
      <c r="R78" s="2" t="s">
        <v>38</v>
      </c>
      <c r="S78" s="49" t="s">
        <v>14</v>
      </c>
      <c r="V78" s="53"/>
      <c r="X78" s="85" t="s">
        <v>64</v>
      </c>
      <c r="Y78" s="85" t="s">
        <v>65</v>
      </c>
      <c r="Z78" s="85" t="s">
        <v>66</v>
      </c>
      <c r="AA78" s="85" t="s">
        <v>67</v>
      </c>
      <c r="AB78" s="2" t="s">
        <v>38</v>
      </c>
      <c r="AC78" s="49" t="s">
        <v>237</v>
      </c>
    </row>
    <row r="79" spans="1:30" s="22" customFormat="1" ht="6.95" customHeight="1" thickBot="1">
      <c r="A79" s="1"/>
      <c r="B79" s="26"/>
      <c r="C79" s="26"/>
      <c r="D79" s="26"/>
      <c r="E79" s="26"/>
      <c r="F79" s="26"/>
      <c r="G79" s="26"/>
      <c r="J79" s="53"/>
      <c r="M79" s="26"/>
      <c r="N79" s="26"/>
      <c r="O79" s="50"/>
      <c r="P79" s="50"/>
      <c r="Q79" s="50"/>
      <c r="R79" s="50"/>
      <c r="S79" s="50"/>
      <c r="V79" s="53"/>
      <c r="X79" s="26"/>
      <c r="Y79" s="26"/>
      <c r="Z79" s="50"/>
      <c r="AA79" s="50"/>
      <c r="AB79" s="50"/>
      <c r="AC79" s="50"/>
    </row>
    <row r="80" spans="1:30" s="22" customFormat="1" ht="70.150000000000006" customHeight="1" thickBot="1">
      <c r="A80" s="87" t="s">
        <v>207</v>
      </c>
      <c r="B80" s="118">
        <v>0</v>
      </c>
      <c r="C80" s="118">
        <v>0</v>
      </c>
      <c r="D80" s="118">
        <v>0</v>
      </c>
      <c r="E80" s="118">
        <v>0</v>
      </c>
      <c r="F80" s="118">
        <f>AVERAGE(B80:C80)</f>
        <v>0</v>
      </c>
      <c r="G80" s="118">
        <v>0</v>
      </c>
      <c r="J80" s="102" t="s">
        <v>18</v>
      </c>
      <c r="M80" s="118">
        <v>0</v>
      </c>
      <c r="N80" s="118">
        <v>0</v>
      </c>
      <c r="O80" s="118">
        <v>0</v>
      </c>
      <c r="P80" s="184">
        <v>0</v>
      </c>
      <c r="Q80" s="120">
        <v>0</v>
      </c>
      <c r="R80" s="108">
        <f>AVERAGE(M80:N80)</f>
        <v>0</v>
      </c>
      <c r="S80" s="122">
        <v>0</v>
      </c>
      <c r="V80" s="102" t="s">
        <v>18</v>
      </c>
      <c r="X80" s="118">
        <v>0</v>
      </c>
      <c r="Y80" s="118">
        <v>0</v>
      </c>
      <c r="Z80" s="118">
        <v>0</v>
      </c>
      <c r="AA80" s="119">
        <v>0</v>
      </c>
      <c r="AB80" s="108">
        <f>AVERAGE(X80:Y80)</f>
        <v>0</v>
      </c>
      <c r="AC80" s="122">
        <v>0</v>
      </c>
      <c r="AD80" s="230" t="s">
        <v>18</v>
      </c>
    </row>
    <row r="81" spans="1:30" s="22" customFormat="1" ht="48" customHeight="1" thickBot="1">
      <c r="J81" s="53"/>
      <c r="V81" s="53"/>
    </row>
    <row r="82" spans="1:30" s="22" customFormat="1" ht="58.5" customHeight="1" thickTop="1">
      <c r="A82" s="101" t="s">
        <v>208</v>
      </c>
      <c r="B82" s="85" t="s">
        <v>163</v>
      </c>
      <c r="C82" s="85" t="s">
        <v>63</v>
      </c>
      <c r="D82" s="85" t="s">
        <v>64</v>
      </c>
      <c r="E82" s="85" t="s">
        <v>65</v>
      </c>
      <c r="F82" s="85" t="s">
        <v>38</v>
      </c>
      <c r="G82" s="85" t="s">
        <v>14</v>
      </c>
      <c r="J82" s="53"/>
      <c r="M82" s="85" t="s">
        <v>163</v>
      </c>
      <c r="N82" s="85" t="s">
        <v>63</v>
      </c>
      <c r="O82" s="85" t="s">
        <v>64</v>
      </c>
      <c r="P82" s="85" t="s">
        <v>65</v>
      </c>
      <c r="Q82" s="86" t="s">
        <v>66</v>
      </c>
      <c r="R82" s="2" t="s">
        <v>38</v>
      </c>
      <c r="S82" s="49" t="s">
        <v>14</v>
      </c>
      <c r="V82" s="53"/>
      <c r="X82" s="85" t="s">
        <v>64</v>
      </c>
      <c r="Y82" s="85" t="s">
        <v>65</v>
      </c>
      <c r="Z82" s="85" t="s">
        <v>66</v>
      </c>
      <c r="AA82" s="85" t="s">
        <v>67</v>
      </c>
      <c r="AB82" s="2" t="s">
        <v>38</v>
      </c>
      <c r="AC82" s="49" t="s">
        <v>237</v>
      </c>
    </row>
    <row r="83" spans="1:30" s="22" customFormat="1" ht="6.95" customHeight="1" thickBot="1">
      <c r="A83" s="1"/>
      <c r="B83" s="26"/>
      <c r="C83" s="26"/>
      <c r="D83" s="26"/>
      <c r="E83" s="26"/>
      <c r="F83" s="26"/>
      <c r="G83" s="26"/>
      <c r="J83" s="53"/>
      <c r="M83" s="26"/>
      <c r="N83" s="26"/>
      <c r="O83" s="50"/>
      <c r="P83" s="50"/>
      <c r="Q83" s="50"/>
      <c r="R83" s="50"/>
      <c r="S83" s="50"/>
      <c r="V83" s="53"/>
      <c r="X83" s="26"/>
      <c r="Y83" s="26"/>
      <c r="Z83" s="50"/>
      <c r="AA83" s="50"/>
      <c r="AB83" s="50"/>
      <c r="AC83" s="50"/>
    </row>
    <row r="84" spans="1:30" s="22" customFormat="1" ht="70.150000000000006" customHeight="1" thickBot="1">
      <c r="A84" s="87" t="s">
        <v>209</v>
      </c>
      <c r="B84" s="130">
        <v>0</v>
      </c>
      <c r="C84" s="130">
        <v>0</v>
      </c>
      <c r="D84" s="130">
        <v>0</v>
      </c>
      <c r="E84" s="130">
        <v>0</v>
      </c>
      <c r="F84" s="130">
        <f>AVERAGE(B84:E84)</f>
        <v>0</v>
      </c>
      <c r="G84" s="130">
        <v>0</v>
      </c>
      <c r="J84" s="102" t="s">
        <v>18</v>
      </c>
      <c r="M84" s="130">
        <v>0</v>
      </c>
      <c r="N84" s="130">
        <v>0</v>
      </c>
      <c r="O84" s="130">
        <v>0</v>
      </c>
      <c r="P84" s="131">
        <v>0</v>
      </c>
      <c r="Q84" s="154">
        <v>0</v>
      </c>
      <c r="R84" s="93">
        <f>AVERAGE(M84:Q84)</f>
        <v>0</v>
      </c>
      <c r="S84" s="94">
        <v>0</v>
      </c>
      <c r="V84" s="102" t="s">
        <v>18</v>
      </c>
      <c r="X84" s="130">
        <v>0</v>
      </c>
      <c r="Y84" s="130">
        <v>0</v>
      </c>
      <c r="Z84" s="130">
        <v>0</v>
      </c>
      <c r="AA84" s="131">
        <v>0</v>
      </c>
      <c r="AB84" s="93">
        <f>AVERAGE(X84:AA84)</f>
        <v>0</v>
      </c>
      <c r="AC84" s="94">
        <v>0</v>
      </c>
      <c r="AD84" s="230" t="s">
        <v>18</v>
      </c>
    </row>
    <row r="85" spans="1:30" s="53" customFormat="1" ht="70.150000000000006" customHeight="1" thickBot="1">
      <c r="A85" s="95"/>
      <c r="B85" s="134"/>
      <c r="C85" s="134"/>
      <c r="D85" s="134"/>
      <c r="E85" s="134"/>
      <c r="F85" s="134"/>
      <c r="G85" s="134"/>
      <c r="M85" s="134"/>
      <c r="N85" s="185"/>
      <c r="O85" s="134"/>
      <c r="P85" s="135"/>
      <c r="Q85" s="99"/>
      <c r="R85" s="100"/>
      <c r="X85" s="134"/>
      <c r="Y85" s="185"/>
      <c r="Z85" s="134"/>
      <c r="AA85" s="135"/>
      <c r="AB85" s="99"/>
      <c r="AC85" s="100"/>
    </row>
    <row r="86" spans="1:30" s="22" customFormat="1" ht="47.25" customHeight="1" thickTop="1">
      <c r="A86" s="101" t="s">
        <v>210</v>
      </c>
      <c r="B86" s="85" t="s">
        <v>63</v>
      </c>
      <c r="C86" s="85" t="s">
        <v>64</v>
      </c>
      <c r="D86" s="85" t="s">
        <v>65</v>
      </c>
      <c r="E86" s="85" t="s">
        <v>66</v>
      </c>
      <c r="F86" s="85" t="s">
        <v>38</v>
      </c>
      <c r="G86" s="85" t="s">
        <v>14</v>
      </c>
      <c r="J86" s="53"/>
      <c r="M86" s="85" t="s">
        <v>63</v>
      </c>
      <c r="N86" s="85" t="s">
        <v>64</v>
      </c>
      <c r="O86" s="85" t="s">
        <v>65</v>
      </c>
      <c r="P86" s="85" t="s">
        <v>66</v>
      </c>
      <c r="Q86" s="2" t="s">
        <v>38</v>
      </c>
      <c r="R86" s="49" t="s">
        <v>14</v>
      </c>
      <c r="U86" s="53"/>
      <c r="X86" s="85" t="s">
        <v>64</v>
      </c>
      <c r="Y86" s="85" t="s">
        <v>65</v>
      </c>
      <c r="Z86" s="85" t="s">
        <v>66</v>
      </c>
      <c r="AA86" s="85" t="s">
        <v>67</v>
      </c>
      <c r="AB86" s="2" t="s">
        <v>38</v>
      </c>
      <c r="AC86" s="49" t="s">
        <v>237</v>
      </c>
    </row>
    <row r="87" spans="1:30" s="22" customFormat="1" ht="6.95" customHeight="1" thickBot="1">
      <c r="A87" s="1"/>
      <c r="B87" s="26"/>
      <c r="C87" s="26"/>
      <c r="D87" s="26"/>
      <c r="E87" s="26"/>
      <c r="F87" s="26"/>
      <c r="G87" s="26"/>
      <c r="J87" s="53"/>
      <c r="M87" s="26"/>
      <c r="N87" s="26"/>
      <c r="O87" s="50"/>
      <c r="P87" s="50"/>
      <c r="Q87" s="50"/>
      <c r="R87" s="50"/>
      <c r="U87" s="53"/>
      <c r="X87" s="26"/>
      <c r="Y87" s="26"/>
      <c r="Z87" s="50"/>
      <c r="AA87" s="50"/>
      <c r="AB87" s="50"/>
      <c r="AC87" s="50"/>
    </row>
    <row r="88" spans="1:30" s="22" customFormat="1" ht="70.150000000000006" customHeight="1" thickBot="1">
      <c r="A88" s="87" t="s">
        <v>211</v>
      </c>
      <c r="B88" s="130"/>
      <c r="C88" s="130">
        <v>0.90159999999999996</v>
      </c>
      <c r="D88" s="130">
        <v>0.9133</v>
      </c>
      <c r="E88" s="130"/>
      <c r="F88" s="130">
        <f>AVERAGE(B88:C88)</f>
        <v>0.90159999999999996</v>
      </c>
      <c r="G88" s="130" t="s">
        <v>184</v>
      </c>
      <c r="J88" s="102" t="s">
        <v>18</v>
      </c>
      <c r="K88" s="186"/>
      <c r="M88" s="130"/>
      <c r="N88" s="187">
        <v>0.90159999999999996</v>
      </c>
      <c r="O88" s="131">
        <v>0.9133</v>
      </c>
      <c r="P88" s="132">
        <v>0.82</v>
      </c>
      <c r="Q88" s="188">
        <f>AVERAGE(M88:N88)</f>
        <v>0.90159999999999996</v>
      </c>
      <c r="R88" s="94" t="s">
        <v>184</v>
      </c>
      <c r="U88" s="102" t="s">
        <v>18</v>
      </c>
      <c r="V88" s="186"/>
      <c r="X88" s="187">
        <v>0.90159999999999996</v>
      </c>
      <c r="Y88" s="131">
        <v>0.9133</v>
      </c>
      <c r="Z88" s="131">
        <f>106/130</f>
        <v>0.81538461538461537</v>
      </c>
      <c r="AA88" s="132">
        <f>84/90</f>
        <v>0.93333333333333335</v>
      </c>
      <c r="AB88" s="188">
        <f>AVERAGE(X88:Y88)</f>
        <v>0.90744999999999998</v>
      </c>
      <c r="AC88" s="94" t="s">
        <v>184</v>
      </c>
      <c r="AD88" s="230" t="s">
        <v>18</v>
      </c>
    </row>
    <row r="89" spans="1:30" s="22" customFormat="1" ht="19.5" customHeight="1" thickBot="1">
      <c r="J89" s="53"/>
      <c r="U89" s="53"/>
    </row>
    <row r="90" spans="1:30" s="22" customFormat="1" ht="47.25" customHeight="1" thickTop="1">
      <c r="A90" s="101" t="s">
        <v>212</v>
      </c>
      <c r="B90" s="85" t="s">
        <v>163</v>
      </c>
      <c r="C90" s="85" t="s">
        <v>63</v>
      </c>
      <c r="D90" s="85" t="s">
        <v>64</v>
      </c>
      <c r="E90" s="85" t="s">
        <v>65</v>
      </c>
      <c r="F90" s="85" t="s">
        <v>38</v>
      </c>
      <c r="G90" s="85" t="s">
        <v>14</v>
      </c>
      <c r="J90" s="53"/>
      <c r="M90" s="85" t="s">
        <v>163</v>
      </c>
      <c r="N90" s="85" t="s">
        <v>63</v>
      </c>
      <c r="O90" s="85" t="s">
        <v>64</v>
      </c>
      <c r="P90" s="85" t="s">
        <v>65</v>
      </c>
      <c r="Q90" s="86" t="s">
        <v>66</v>
      </c>
      <c r="R90" s="2" t="s">
        <v>38</v>
      </c>
      <c r="S90" s="49" t="s">
        <v>14</v>
      </c>
      <c r="V90" s="53"/>
      <c r="X90" s="85" t="s">
        <v>64</v>
      </c>
      <c r="Y90" s="85" t="s">
        <v>65</v>
      </c>
      <c r="Z90" s="85" t="s">
        <v>66</v>
      </c>
      <c r="AA90" s="85" t="s">
        <v>67</v>
      </c>
      <c r="AB90" s="2" t="s">
        <v>38</v>
      </c>
      <c r="AC90" s="49" t="s">
        <v>237</v>
      </c>
    </row>
    <row r="91" spans="1:30" s="22" customFormat="1" ht="6.95" customHeight="1" thickBot="1">
      <c r="A91" s="1"/>
      <c r="B91" s="26"/>
      <c r="C91" s="26"/>
      <c r="D91" s="26"/>
      <c r="E91" s="26"/>
      <c r="F91" s="26"/>
      <c r="G91" s="26"/>
      <c r="J91" s="53"/>
      <c r="M91" s="26"/>
      <c r="N91" s="26"/>
      <c r="O91" s="50"/>
      <c r="P91" s="50"/>
      <c r="Q91" s="50"/>
      <c r="R91" s="50"/>
      <c r="S91" s="50"/>
      <c r="V91" s="53"/>
      <c r="X91" s="26"/>
      <c r="Y91" s="26"/>
      <c r="Z91" s="50"/>
      <c r="AA91" s="50"/>
      <c r="AB91" s="50"/>
      <c r="AC91" s="50"/>
    </row>
    <row r="92" spans="1:30" s="22" customFormat="1" ht="43.5" customHeight="1" thickBot="1">
      <c r="A92" s="87" t="s">
        <v>213</v>
      </c>
      <c r="B92" s="189">
        <v>5.3E-3</v>
      </c>
      <c r="C92" s="189">
        <v>4.0000000000000001E-3</v>
      </c>
      <c r="D92" s="189">
        <v>2E-3</v>
      </c>
      <c r="E92" s="189">
        <v>2.0999999999999999E-3</v>
      </c>
      <c r="F92" s="189">
        <f>AVERAGE(B92:E92)</f>
        <v>3.3499999999999997E-3</v>
      </c>
      <c r="G92" s="189" t="s">
        <v>42</v>
      </c>
      <c r="J92" s="102" t="s">
        <v>18</v>
      </c>
      <c r="M92" s="189">
        <v>5.3E-3</v>
      </c>
      <c r="N92" s="189">
        <v>4.0000000000000001E-3</v>
      </c>
      <c r="O92" s="189">
        <v>2E-3</v>
      </c>
      <c r="P92" s="190">
        <v>2.0999999999999999E-3</v>
      </c>
      <c r="Q92" s="191">
        <v>1.4E-3</v>
      </c>
      <c r="R92" s="108">
        <f>AVERAGE(M92:Q92)</f>
        <v>2.96E-3</v>
      </c>
      <c r="S92" s="94" t="s">
        <v>42</v>
      </c>
      <c r="V92" s="102" t="s">
        <v>18</v>
      </c>
      <c r="X92" s="189">
        <v>2E-3</v>
      </c>
      <c r="Y92" s="190">
        <v>2.0999999999999999E-3</v>
      </c>
      <c r="Z92" s="189">
        <v>1.4E-3</v>
      </c>
      <c r="AA92" s="313">
        <v>1E-4</v>
      </c>
      <c r="AB92" s="108">
        <f>AVERAGE(X92:AA92)</f>
        <v>1.4E-3</v>
      </c>
      <c r="AC92" s="94" t="s">
        <v>42</v>
      </c>
      <c r="AD92" s="230" t="s">
        <v>18</v>
      </c>
    </row>
    <row r="93" spans="1:30" s="22" customFormat="1" ht="7.5" customHeight="1" thickBot="1">
      <c r="J93" s="53"/>
      <c r="Q93" s="133"/>
      <c r="V93" s="53"/>
    </row>
    <row r="94" spans="1:30" s="22" customFormat="1" ht="51" customHeight="1" thickBot="1">
      <c r="A94" s="87" t="s">
        <v>214</v>
      </c>
      <c r="B94" s="130">
        <v>0</v>
      </c>
      <c r="C94" s="130">
        <v>0</v>
      </c>
      <c r="D94" s="130">
        <v>0</v>
      </c>
      <c r="E94" s="130">
        <v>0</v>
      </c>
      <c r="F94" s="130">
        <f>AVERAGE(B94:E94)</f>
        <v>0</v>
      </c>
      <c r="G94" s="130" t="s">
        <v>42</v>
      </c>
      <c r="J94" s="102" t="s">
        <v>18</v>
      </c>
      <c r="M94" s="130">
        <v>0</v>
      </c>
      <c r="N94" s="130">
        <v>0</v>
      </c>
      <c r="O94" s="130">
        <v>0</v>
      </c>
      <c r="P94" s="131">
        <v>0</v>
      </c>
      <c r="Q94" s="154">
        <v>0</v>
      </c>
      <c r="R94" s="93">
        <f>AVERAGE(M94:Q94)</f>
        <v>0</v>
      </c>
      <c r="S94" s="94" t="s">
        <v>42</v>
      </c>
      <c r="V94" s="102" t="s">
        <v>18</v>
      </c>
      <c r="X94" s="130">
        <v>0</v>
      </c>
      <c r="Y94" s="130">
        <v>0</v>
      </c>
      <c r="Z94" s="130">
        <v>0</v>
      </c>
      <c r="AA94" s="131">
        <v>0</v>
      </c>
      <c r="AB94" s="93">
        <f>AVERAGE(X94:AA94)</f>
        <v>0</v>
      </c>
      <c r="AC94" s="94" t="s">
        <v>42</v>
      </c>
      <c r="AD94" s="230" t="s">
        <v>18</v>
      </c>
    </row>
    <row r="95" spans="1:30" s="22" customFormat="1"/>
    <row r="96" spans="1:30" s="22" customFormat="1"/>
  </sheetData>
  <mergeCells count="3">
    <mergeCell ref="B3:G3"/>
    <mergeCell ref="M3:R3"/>
    <mergeCell ref="X3:AC3"/>
  </mergeCells>
  <printOptions horizontalCentered="1" verticalCentered="1"/>
  <pageMargins left="1.299212598425197" right="0.70866141732283472" top="0.74803149606299213" bottom="0.74803149606299213" header="0.31496062992125978" footer="0.31496062992125978"/>
  <pageSetup paperSize="9" scale="35" fitToWidth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f3c965-1005-42a8-bf2e-70de7e590206" xsi:nil="true"/>
    <lcf76f155ced4ddcb4097134ff3c332f xmlns="175e3186-fc26-4934-a0fc-345828dbdf1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D901D032675DF4A92ECFB9B8496AB80" ma:contentTypeVersion="18" ma:contentTypeDescription="Ein neues Dokument erstellen." ma:contentTypeScope="" ma:versionID="875f746ff1c2bd09c44b2867eb0760ae">
  <xsd:schema xmlns:xsd="http://www.w3.org/2001/XMLSchema" xmlns:xs="http://www.w3.org/2001/XMLSchema" xmlns:p="http://schemas.microsoft.com/office/2006/metadata/properties" xmlns:ns2="175e3186-fc26-4934-a0fc-345828dbdf10" xmlns:ns3="a3f3c965-1005-42a8-bf2e-70de7e590206" targetNamespace="http://schemas.microsoft.com/office/2006/metadata/properties" ma:root="true" ma:fieldsID="619caf35193cddf6197dc978b2213e05" ns2:_="" ns3:_="">
    <xsd:import namespace="175e3186-fc26-4934-a0fc-345828dbdf10"/>
    <xsd:import namespace="a3f3c965-1005-42a8-bf2e-70de7e5902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e3186-fc26-4934-a0fc-345828dbdf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387ad934-71f4-463b-ad3a-8cafd53410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f3c965-1005-42a8-bf2e-70de7e59020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c7f3324-49df-421b-a2f8-43bef6f440fc}" ma:internalName="TaxCatchAll" ma:showField="CatchAllData" ma:web="a3f3c965-1005-42a8-bf2e-70de7e5902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EFEB0F-B844-44EE-B2BE-9B22AFAD3B15}">
  <ds:schemaRefs>
    <ds:schemaRef ds:uri="http://schemas.microsoft.com/office/2006/metadata/properties"/>
    <ds:schemaRef ds:uri="http://schemas.microsoft.com/office/infopath/2007/PartnerControls"/>
    <ds:schemaRef ds:uri="fbe7ef32-134b-4139-9e8e-3fbe11c82c11"/>
    <ds:schemaRef ds:uri="a3f3c965-1005-42a8-bf2e-70de7e590206"/>
  </ds:schemaRefs>
</ds:datastoreItem>
</file>

<file path=customXml/itemProps2.xml><?xml version="1.0" encoding="utf-8"?>
<ds:datastoreItem xmlns:ds="http://schemas.openxmlformats.org/officeDocument/2006/customXml" ds:itemID="{222205B7-A3AA-4918-997B-79BC48276446}"/>
</file>

<file path=customXml/itemProps3.xml><?xml version="1.0" encoding="utf-8"?>
<ds:datastoreItem xmlns:ds="http://schemas.openxmlformats.org/officeDocument/2006/customXml" ds:itemID="{1B69AC65-47E8-42E0-9285-9138E1B1F7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Personal</vt:lpstr>
      <vt:lpstr>Sicherheit (Flotte und TAPA)</vt:lpstr>
      <vt:lpstr>Operativ</vt:lpstr>
      <vt:lpstr>Vertrieb</vt:lpstr>
      <vt:lpstr>Service</vt:lpstr>
      <vt:lpstr>Lager</vt:lpstr>
      <vt:lpstr>Umwelt</vt:lpstr>
      <vt:lpstr>Arbeitsschutz</vt:lpstr>
      <vt:lpstr>Sonstiges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Lauppe</dc:creator>
  <cp:lastModifiedBy>Jonas Lauppe</cp:lastModifiedBy>
  <dcterms:created xsi:type="dcterms:W3CDTF">2026-01-05T15:40:57Z</dcterms:created>
  <dcterms:modified xsi:type="dcterms:W3CDTF">2026-01-06T16:22:04Z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0x0101007D901D032675DF4A92ECFB9B8496AB80</vt:lpwstr>
  </property>
  <property fmtid="{D5CDD505-2E9C-101B-9397-08002B2CF9AE}" pid="3" name="MediaServiceImageTags">
    <vt:lpwstr/>
  </property>
</Properties>
</file>