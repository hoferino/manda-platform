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xx.xx.2025\"/>
    </mc:Choice>
  </mc:AlternateContent>
  <xr:revisionPtr revIDLastSave="0" documentId="13_ncr:1_{AD6509EE-C58D-4F65-9037-C2C4AE4B38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C6" i="1"/>
  <c r="B6" i="1"/>
  <c r="B7" i="1"/>
  <c r="B5" i="1"/>
  <c r="C5" i="1" s="1"/>
  <c r="C4" i="1"/>
  <c r="B4" i="1"/>
</calcChain>
</file>

<file path=xl/sharedStrings.xml><?xml version="1.0" encoding="utf-8"?>
<sst xmlns="http://schemas.openxmlformats.org/spreadsheetml/2006/main" count="9" uniqueCount="9">
  <si>
    <t>FX RON/EUR (17.12)</t>
  </si>
  <si>
    <t>Amounts for adjusting Ebitda</t>
  </si>
  <si>
    <t>total amount 2025 (EUR eq)</t>
  </si>
  <si>
    <t>monthly amount (EUR eq)</t>
  </si>
  <si>
    <t>Publicity costs</t>
  </si>
  <si>
    <t>Rent &amp; utilities</t>
  </si>
  <si>
    <t>Holding related costs</t>
  </si>
  <si>
    <t>Other costs (one off's)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</si>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</sst>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8" sqref="J8"/>
    </sheetView>
  </sheetViews>
  <sheetFormatPr defaultRowHeight="15"/>
  <cols>
    <col min="1" max="1" width="26.7109375" bestFit="1" customWidth="1"/>
    <col min="2" max="2" width="25.28515625" bestFit="1" customWidth="1"/>
    <col min="3" max="3" width="24.140625" bestFit="1" customWidth="1"/>
  </cols>
  <sheetData>
    <row r="1" spans="1:3">
      <c r="B1" s="1">
        <v>5.0922999999999998</v>
      </c>
      <c r="C1" t="s">
        <v>0</v>
      </c>
    </row>
    <row r="2" spans="1:3" ht="15.75" thickBot="1">
      <c r="A2" t="s">
        <v>1</v>
      </c>
    </row>
    <row r="3" spans="1:3" ht="15.75" thickBot="1">
      <c r="A3" s="3"/>
      <c r="B3" s="4" t="s">
        <v>2</v>
      </c>
      <c r="C3" s="5" t="s">
        <v>3</v>
      </c>
    </row>
    <row r="4" spans="1:3">
      <c r="A4" s="9" t="s">
        <v>4</v>
      </c>
      <c r="B4" s="12">
        <f>720000/B1</f>
        <v>141389.94167664906</v>
      </c>
      <c r="C4" s="15">
        <f>60000/B1</f>
        <v>11782.495139720755</v>
      </c>
    </row>
    <row r="5" spans="1:3">
      <c r="A5" s="10" t="s">
        <v>5</v>
      </c>
      <c r="B5" s="13">
        <f>617446.65/B1</f>
        <v>121251.03587769771</v>
      </c>
      <c r="C5" s="16">
        <f>B5/12</f>
        <v>10104.252989808143</v>
      </c>
    </row>
    <row r="6" spans="1:3">
      <c r="A6" s="10" t="s">
        <v>6</v>
      </c>
      <c r="B6" s="13">
        <f>(316055+3296216+480383)/B1</f>
        <v>803694.59772597847</v>
      </c>
      <c r="C6" s="16">
        <f>B6/10</f>
        <v>80369.459772597853</v>
      </c>
    </row>
    <row r="7" spans="1:3" ht="15.75" thickBot="1">
      <c r="A7" s="11" t="s">
        <v>7</v>
      </c>
      <c r="B7" s="14">
        <f>158025.26/B1</f>
        <v>31032.197631718478</v>
      </c>
      <c r="C7" s="17"/>
    </row>
    <row r="8" spans="1:3" ht="15.75" thickBot="1">
      <c r="A8" s="6" t="s">
        <v>8</v>
      </c>
      <c r="B8" s="7">
        <f>SUM(B4:B7)</f>
        <v>1097367.7729120438</v>
      </c>
      <c r="C8" s="8">
        <f>SUM(C4:C7)</f>
        <v>102256.20790212674</v>
      </c>
    </row>
    <row r="9" spans="1:3">
      <c r="B9" s="2"/>
      <c r="C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e3186-fc26-4934-a0fc-345828dbdf10">
      <Terms xmlns="http://schemas.microsoft.com/office/infopath/2007/PartnerControls"/>
    </lcf76f155ced4ddcb4097134ff3c332f>
    <TaxCatchAll xmlns="a3f3c965-1005-42a8-bf2e-70de7e5902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726C64-82CD-420F-9094-A47A57EFCE17}"/>
</file>

<file path=customXml/itemProps2.xml><?xml version="1.0" encoding="utf-8"?>
<ds:datastoreItem xmlns:ds="http://schemas.openxmlformats.org/officeDocument/2006/customXml" ds:itemID="{DB8F3269-70B4-49B5-AA70-04F00A3D60B9}"/>
</file>

<file path=customXml/itemProps3.xml><?xml version="1.0" encoding="utf-8"?>
<ds:datastoreItem xmlns:ds="http://schemas.openxmlformats.org/officeDocument/2006/customXml" ds:itemID="{6D934C28-72F4-45D1-8388-B67671B55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Ancuta Ioana Poleac - International Alexander RO</dc:creator>
  <cp:keywords/>
  <dc:description/>
  <cp:lastModifiedBy>Bekim Asani</cp:lastModifiedBy>
  <cp:revision/>
  <dcterms:created xsi:type="dcterms:W3CDTF">2015-06-05T18:17:20Z</dcterms:created>
  <dcterms:modified xsi:type="dcterms:W3CDTF">2025-12-18T09:53:50Z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