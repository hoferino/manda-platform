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steinbeisconsulting.sharepoint.com/sites/SCMA/Server/01 - Projekte/Laufende Projekte/10347 - VIO Transport (VVO) - MH - BA/Vermarkten/FiMo/"/>
    </mc:Choice>
  </mc:AlternateContent>
  <xr:revisionPtr revIDLastSave="1905" documentId="11_A593CDC746AB611E2BA6A3D7B0AABCD6A86652A0" xr6:coauthVersionLast="47" xr6:coauthVersionMax="47" xr10:uidLastSave="{800BC3B8-6BE5-4A46-92D4-B0DDF6B9421A}"/>
  <bookViews>
    <workbookView xWindow="-120" yWindow="-120" windowWidth="29040" windowHeight="15720" activeTab="5" xr2:uid="{00000000-000D-0000-FFFF-FFFF00000000}"/>
  </bookViews>
  <sheets>
    <sheet name="P&amp;L 2022-2024" sheetId="1" r:id="rId1"/>
    <sheet name="Balance Sheet 2022-2024" sheetId="2" r:id="rId2"/>
    <sheet name="P&amp;L 2022-2024 (2)" sheetId="5" r:id="rId3"/>
    <sheet name="Balance Sheet 2022-2024 (2)" sheetId="4" r:id="rId4"/>
    <sheet name="Tabelle1" sheetId="6" r:id="rId5"/>
    <sheet name="Overview BS" sheetId="7" r:id="rId6"/>
    <sheet name="Overview PL" sheetId="8" r:id="rId7"/>
  </sheets>
  <externalReferences>
    <externalReference r:id="rId8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6" i="8" l="1"/>
  <c r="M7" i="8"/>
  <c r="M8" i="8"/>
  <c r="M9" i="8"/>
  <c r="M10" i="8"/>
  <c r="M11" i="8"/>
  <c r="M12" i="8"/>
  <c r="M13" i="8"/>
  <c r="M14" i="8"/>
  <c r="M15" i="8"/>
  <c r="M16" i="8"/>
  <c r="M17" i="8"/>
  <c r="M5" i="8"/>
  <c r="G4" i="8"/>
  <c r="O97" i="8"/>
  <c r="N97" i="8"/>
  <c r="M97" i="8"/>
  <c r="N96" i="8"/>
  <c r="N95" i="8"/>
  <c r="L94" i="8"/>
  <c r="L93" i="8"/>
  <c r="M92" i="8"/>
  <c r="L92" i="8"/>
  <c r="O92" i="8"/>
  <c r="N92" i="8"/>
  <c r="O91" i="8"/>
  <c r="N91" i="8"/>
  <c r="L91" i="8"/>
  <c r="M91" i="8"/>
  <c r="O90" i="8"/>
  <c r="N90" i="8"/>
  <c r="M90" i="8"/>
  <c r="L90" i="8"/>
  <c r="O89" i="8"/>
  <c r="N89" i="8"/>
  <c r="M89" i="8"/>
  <c r="L89" i="8"/>
  <c r="O88" i="8"/>
  <c r="N88" i="8"/>
  <c r="M88" i="8"/>
  <c r="L88" i="8"/>
  <c r="O87" i="8"/>
  <c r="N87" i="8"/>
  <c r="M87" i="8"/>
  <c r="L87" i="8"/>
  <c r="O86" i="8"/>
  <c r="N86" i="8"/>
  <c r="M86" i="8"/>
  <c r="L86" i="8"/>
  <c r="O85" i="8"/>
  <c r="N85" i="8"/>
  <c r="M85" i="8"/>
  <c r="L85" i="8"/>
  <c r="L84" i="8"/>
  <c r="L83" i="8"/>
  <c r="O82" i="8"/>
  <c r="N82" i="8"/>
  <c r="M82" i="8"/>
  <c r="L81" i="8"/>
  <c r="L80" i="8"/>
  <c r="L79" i="8"/>
  <c r="L78" i="8"/>
  <c r="L77" i="8"/>
  <c r="M76" i="8"/>
  <c r="L76" i="8"/>
  <c r="O76" i="8"/>
  <c r="N76" i="8"/>
  <c r="O75" i="8"/>
  <c r="N75" i="8"/>
  <c r="M75" i="8"/>
  <c r="L75" i="8"/>
  <c r="M74" i="8"/>
  <c r="L74" i="8"/>
  <c r="O74" i="8"/>
  <c r="N74" i="8"/>
  <c r="O73" i="8"/>
  <c r="N73" i="8"/>
  <c r="L73" i="8"/>
  <c r="M73" i="8"/>
  <c r="L72" i="8"/>
  <c r="N72" i="8"/>
  <c r="L71" i="8"/>
  <c r="L70" i="8"/>
  <c r="L69" i="8"/>
  <c r="L68" i="8"/>
  <c r="L67" i="8"/>
  <c r="O67" i="8"/>
  <c r="N67" i="8"/>
  <c r="M67" i="8"/>
  <c r="O66" i="8"/>
  <c r="N66" i="8"/>
  <c r="M66" i="8"/>
  <c r="L66" i="8"/>
  <c r="L65" i="8"/>
  <c r="O65" i="8"/>
  <c r="N65" i="8"/>
  <c r="M65" i="8"/>
  <c r="O64" i="8"/>
  <c r="N64" i="8"/>
  <c r="M64" i="8"/>
  <c r="L64" i="8"/>
  <c r="L63" i="8"/>
  <c r="O63" i="8"/>
  <c r="M63" i="8"/>
  <c r="L62" i="8"/>
  <c r="L61" i="8"/>
  <c r="N60" i="8"/>
  <c r="L59" i="8"/>
  <c r="N58" i="8"/>
  <c r="M58" i="8"/>
  <c r="L58" i="8"/>
  <c r="O58" i="8"/>
  <c r="L57" i="8"/>
  <c r="O57" i="8"/>
  <c r="L56" i="8"/>
  <c r="N55" i="8"/>
  <c r="M55" i="8"/>
  <c r="L55" i="8"/>
  <c r="O55" i="8"/>
  <c r="O54" i="8"/>
  <c r="L54" i="8"/>
  <c r="N54" i="8"/>
  <c r="M54" i="8"/>
  <c r="O53" i="8"/>
  <c r="N53" i="8"/>
  <c r="M53" i="8"/>
  <c r="L53" i="8"/>
  <c r="O52" i="8"/>
  <c r="N52" i="8"/>
  <c r="M52" i="8"/>
  <c r="N51" i="8"/>
  <c r="M51" i="8"/>
  <c r="O51" i="8"/>
  <c r="O50" i="8"/>
  <c r="N50" i="8"/>
  <c r="M50" i="8"/>
  <c r="O49" i="8"/>
  <c r="N49" i="8"/>
  <c r="M49" i="8"/>
  <c r="O48" i="8"/>
  <c r="N48" i="8"/>
  <c r="M48" i="8"/>
  <c r="L48" i="8"/>
  <c r="L47" i="8"/>
  <c r="O47" i="8"/>
  <c r="N47" i="8"/>
  <c r="M47" i="8"/>
  <c r="O46" i="8"/>
  <c r="N46" i="8"/>
  <c r="M46" i="8"/>
  <c r="N45" i="8"/>
  <c r="O45" i="8"/>
  <c r="M45" i="8"/>
  <c r="O44" i="8"/>
  <c r="N44" i="8"/>
  <c r="M44" i="8"/>
  <c r="N43" i="8"/>
  <c r="O43" i="8"/>
  <c r="M43" i="8"/>
  <c r="O42" i="8"/>
  <c r="N42" i="8"/>
  <c r="M42" i="8"/>
  <c r="N41" i="8"/>
  <c r="L41" i="8"/>
  <c r="N39" i="8"/>
  <c r="M41" i="8"/>
  <c r="O40" i="8"/>
  <c r="N40" i="8"/>
  <c r="M40" i="8"/>
  <c r="L40" i="8"/>
  <c r="L39" i="8"/>
  <c r="O38" i="8"/>
  <c r="N38" i="8"/>
  <c r="M38" i="8"/>
  <c r="L38" i="8"/>
  <c r="M37" i="8"/>
  <c r="L37" i="8"/>
  <c r="M36" i="8"/>
  <c r="L36" i="8"/>
  <c r="L35" i="8"/>
  <c r="O35" i="8"/>
  <c r="N35" i="8"/>
  <c r="M35" i="8"/>
  <c r="O34" i="8"/>
  <c r="M34" i="8"/>
  <c r="L34" i="8"/>
  <c r="N34" i="8"/>
  <c r="M33" i="8"/>
  <c r="L33" i="8"/>
  <c r="O32" i="8"/>
  <c r="N33" i="8"/>
  <c r="L32" i="8"/>
  <c r="N32" i="8"/>
  <c r="M32" i="8"/>
  <c r="O31" i="8"/>
  <c r="N31" i="8"/>
  <c r="L31" i="8"/>
  <c r="M31" i="8"/>
  <c r="L30" i="8"/>
  <c r="L29" i="8"/>
  <c r="L28" i="8"/>
  <c r="O28" i="8"/>
  <c r="N28" i="8"/>
  <c r="O27" i="8"/>
  <c r="M27" i="8"/>
  <c r="L27" i="8"/>
  <c r="N27" i="8"/>
  <c r="M26" i="8"/>
  <c r="L26" i="8"/>
  <c r="O26" i="8"/>
  <c r="N26" i="8"/>
  <c r="O25" i="8"/>
  <c r="M25" i="8"/>
  <c r="L25" i="8"/>
  <c r="M24" i="8"/>
  <c r="L24" i="8"/>
  <c r="O24" i="8"/>
  <c r="O23" i="8"/>
  <c r="M23" i="8"/>
  <c r="L23" i="8"/>
  <c r="N22" i="8"/>
  <c r="M22" i="8"/>
  <c r="L22" i="8"/>
  <c r="L21" i="8"/>
  <c r="O20" i="8"/>
  <c r="M20" i="8"/>
  <c r="L20" i="8"/>
  <c r="M19" i="8"/>
  <c r="L19" i="8"/>
  <c r="N19" i="8"/>
  <c r="M18" i="8"/>
  <c r="L18" i="8"/>
  <c r="L17" i="8"/>
  <c r="O17" i="8"/>
  <c r="N17" i="8"/>
  <c r="N16" i="8"/>
  <c r="L16" i="8"/>
  <c r="O16" i="8"/>
  <c r="N15" i="8"/>
  <c r="L15" i="8"/>
  <c r="O15" i="8"/>
  <c r="L14" i="8"/>
  <c r="O14" i="8"/>
  <c r="N14" i="8"/>
  <c r="N13" i="8"/>
  <c r="L13" i="8"/>
  <c r="O13" i="8"/>
  <c r="O12" i="8"/>
  <c r="N12" i="8"/>
  <c r="L12" i="8"/>
  <c r="O11" i="8"/>
  <c r="N11" i="8"/>
  <c r="L11" i="8"/>
  <c r="L10" i="8"/>
  <c r="O10" i="8"/>
  <c r="N10" i="8"/>
  <c r="O9" i="8"/>
  <c r="L9" i="8"/>
  <c r="N9" i="8"/>
  <c r="O8" i="8"/>
  <c r="O7" i="8"/>
  <c r="N7" i="8"/>
  <c r="O6" i="8"/>
  <c r="N6" i="8"/>
  <c r="C6" i="8"/>
  <c r="L6" i="8" s="1"/>
  <c r="L5" i="8"/>
  <c r="N4" i="8"/>
  <c r="N56" i="7"/>
  <c r="O56" i="7"/>
  <c r="P56" i="7"/>
  <c r="N57" i="7"/>
  <c r="O57" i="7"/>
  <c r="P57" i="7"/>
  <c r="N55" i="7"/>
  <c r="O13" i="7"/>
  <c r="O81" i="7"/>
  <c r="N81" i="7"/>
  <c r="M126" i="7"/>
  <c r="M125" i="7"/>
  <c r="O125" i="7"/>
  <c r="N125" i="7"/>
  <c r="M124" i="7"/>
  <c r="O124" i="7"/>
  <c r="N124" i="7"/>
  <c r="M123" i="7"/>
  <c r="M122" i="7"/>
  <c r="O122" i="7"/>
  <c r="N122" i="7"/>
  <c r="M121" i="7"/>
  <c r="O121" i="7"/>
  <c r="N121" i="7"/>
  <c r="M120" i="7"/>
  <c r="O120" i="7"/>
  <c r="N120" i="7"/>
  <c r="M118" i="7"/>
  <c r="O118" i="7"/>
  <c r="N118" i="7"/>
  <c r="O117" i="7"/>
  <c r="M117" i="7"/>
  <c r="N117" i="7"/>
  <c r="O115" i="7"/>
  <c r="N115" i="7"/>
  <c r="M115" i="7"/>
  <c r="O114" i="7"/>
  <c r="M114" i="7"/>
  <c r="N114" i="7"/>
  <c r="N113" i="7"/>
  <c r="M113" i="7"/>
  <c r="O113" i="7"/>
  <c r="P113" i="7" s="1"/>
  <c r="M112" i="7"/>
  <c r="M111" i="7"/>
  <c r="O111" i="7"/>
  <c r="N111" i="7"/>
  <c r="O110" i="7"/>
  <c r="N110" i="7"/>
  <c r="M110" i="7"/>
  <c r="M109" i="7"/>
  <c r="O109" i="7"/>
  <c r="M107" i="7"/>
  <c r="O107" i="7"/>
  <c r="N107" i="7"/>
  <c r="M106" i="7"/>
  <c r="O106" i="7"/>
  <c r="N106" i="7"/>
  <c r="M105" i="7"/>
  <c r="M104" i="7"/>
  <c r="O104" i="7"/>
  <c r="N104" i="7"/>
  <c r="O103" i="7"/>
  <c r="M103" i="7"/>
  <c r="N103" i="7"/>
  <c r="O102" i="7"/>
  <c r="M102" i="7"/>
  <c r="N102" i="7"/>
  <c r="M101" i="7"/>
  <c r="O101" i="7"/>
  <c r="M100" i="7"/>
  <c r="O100" i="7"/>
  <c r="N100" i="7"/>
  <c r="M98" i="7"/>
  <c r="N97" i="7"/>
  <c r="M97" i="7"/>
  <c r="O97" i="7"/>
  <c r="M96" i="7"/>
  <c r="O96" i="7"/>
  <c r="M95" i="7"/>
  <c r="O94" i="7"/>
  <c r="M94" i="7"/>
  <c r="O93" i="7"/>
  <c r="M93" i="7"/>
  <c r="M92" i="7"/>
  <c r="M91" i="7"/>
  <c r="M90" i="7"/>
  <c r="N90" i="7"/>
  <c r="M89" i="7"/>
  <c r="M88" i="7"/>
  <c r="M86" i="7"/>
  <c r="M85" i="7"/>
  <c r="O85" i="7"/>
  <c r="N85" i="7"/>
  <c r="O84" i="7"/>
  <c r="N84" i="7"/>
  <c r="M84" i="7"/>
  <c r="M83" i="7"/>
  <c r="O83" i="7"/>
  <c r="N86" i="7"/>
  <c r="M81" i="7"/>
  <c r="O80" i="7"/>
  <c r="M80" i="7"/>
  <c r="N80" i="7"/>
  <c r="M79" i="7"/>
  <c r="O67" i="7"/>
  <c r="N67" i="7"/>
  <c r="O78" i="7"/>
  <c r="N78" i="7"/>
  <c r="M78" i="7"/>
  <c r="N66" i="7"/>
  <c r="M77" i="7"/>
  <c r="O65" i="7"/>
  <c r="M76" i="7"/>
  <c r="O64" i="7"/>
  <c r="N76" i="7"/>
  <c r="M75" i="7"/>
  <c r="O63" i="7"/>
  <c r="N75" i="7"/>
  <c r="M74" i="7"/>
  <c r="O74" i="7"/>
  <c r="N74" i="7"/>
  <c r="N73" i="7"/>
  <c r="M73" i="7"/>
  <c r="O73" i="7"/>
  <c r="M71" i="7"/>
  <c r="M70" i="7"/>
  <c r="M69" i="7"/>
  <c r="N68" i="7"/>
  <c r="M68" i="7"/>
  <c r="O68" i="7"/>
  <c r="M67" i="7"/>
  <c r="M66" i="7"/>
  <c r="O66" i="7"/>
  <c r="M65" i="7"/>
  <c r="N64" i="7"/>
  <c r="M64" i="7"/>
  <c r="N63" i="7"/>
  <c r="M63" i="7"/>
  <c r="N62" i="7"/>
  <c r="M62" i="7"/>
  <c r="M61" i="7"/>
  <c r="N61" i="7"/>
  <c r="M57" i="7"/>
  <c r="O55" i="7"/>
  <c r="M56" i="7"/>
  <c r="M55" i="7"/>
  <c r="M54" i="7"/>
  <c r="N53" i="7"/>
  <c r="O53" i="7" s="1"/>
  <c r="P53" i="7" s="1"/>
  <c r="M53" i="7"/>
  <c r="M52" i="7"/>
  <c r="O51" i="7"/>
  <c r="M51" i="7"/>
  <c r="N51" i="7"/>
  <c r="N50" i="7"/>
  <c r="M50" i="7"/>
  <c r="O52" i="7"/>
  <c r="M48" i="7"/>
  <c r="M47" i="7"/>
  <c r="O47" i="7"/>
  <c r="N47" i="7"/>
  <c r="O46" i="7"/>
  <c r="N46" i="7"/>
  <c r="M46" i="7"/>
  <c r="M45" i="7"/>
  <c r="O45" i="7"/>
  <c r="N45" i="7"/>
  <c r="M44" i="7"/>
  <c r="O44" i="7"/>
  <c r="N44" i="7"/>
  <c r="M43" i="7"/>
  <c r="O43" i="7"/>
  <c r="N43" i="7"/>
  <c r="M42" i="7"/>
  <c r="O48" i="7"/>
  <c r="N42" i="7"/>
  <c r="M40" i="7"/>
  <c r="M39" i="7"/>
  <c r="O39" i="7"/>
  <c r="N39" i="7"/>
  <c r="M38" i="7"/>
  <c r="O38" i="7"/>
  <c r="N38" i="7"/>
  <c r="M37" i="7"/>
  <c r="O36" i="7"/>
  <c r="M36" i="7"/>
  <c r="N36" i="7"/>
  <c r="M33" i="7"/>
  <c r="M32" i="7"/>
  <c r="O31" i="7"/>
  <c r="N31" i="7"/>
  <c r="M31" i="7"/>
  <c r="M30" i="7"/>
  <c r="O30" i="7"/>
  <c r="N30" i="7"/>
  <c r="N29" i="7"/>
  <c r="M29" i="7"/>
  <c r="O29" i="7"/>
  <c r="M28" i="7"/>
  <c r="O28" i="7"/>
  <c r="N28" i="7"/>
  <c r="M27" i="7"/>
  <c r="O27" i="7"/>
  <c r="N27" i="7"/>
  <c r="O26" i="7"/>
  <c r="M26" i="7"/>
  <c r="M24" i="7"/>
  <c r="M23" i="7"/>
  <c r="O23" i="7"/>
  <c r="N23" i="7"/>
  <c r="M22" i="7"/>
  <c r="O22" i="7"/>
  <c r="N22" i="7"/>
  <c r="M21" i="7"/>
  <c r="O21" i="7"/>
  <c r="N21" i="7"/>
  <c r="M20" i="7"/>
  <c r="O20" i="7"/>
  <c r="N20" i="7"/>
  <c r="M19" i="7"/>
  <c r="O19" i="7"/>
  <c r="N19" i="7"/>
  <c r="O18" i="7"/>
  <c r="N18" i="7"/>
  <c r="M18" i="7"/>
  <c r="O17" i="7"/>
  <c r="M17" i="7"/>
  <c r="N17" i="7"/>
  <c r="N16" i="7"/>
  <c r="M16" i="7"/>
  <c r="O16" i="7"/>
  <c r="M15" i="7"/>
  <c r="O15" i="7"/>
  <c r="N15" i="7"/>
  <c r="M13" i="7"/>
  <c r="M12" i="7"/>
  <c r="O12" i="7"/>
  <c r="N12" i="7"/>
  <c r="M11" i="7"/>
  <c r="O11" i="7"/>
  <c r="N11" i="7"/>
  <c r="M10" i="7"/>
  <c r="O10" i="7"/>
  <c r="N10" i="7"/>
  <c r="M9" i="7"/>
  <c r="O9" i="7"/>
  <c r="N9" i="7"/>
  <c r="M8" i="7"/>
  <c r="O8" i="7"/>
  <c r="N8" i="7"/>
  <c r="P7" i="7"/>
  <c r="M7" i="7"/>
  <c r="N13" i="7"/>
  <c r="C8" i="8" l="1"/>
  <c r="L8" i="8" s="1"/>
  <c r="O5" i="8"/>
  <c r="M68" i="8"/>
  <c r="M69" i="8"/>
  <c r="M29" i="8"/>
  <c r="M30" i="8"/>
  <c r="O56" i="8"/>
  <c r="O69" i="8"/>
  <c r="O68" i="8"/>
  <c r="N23" i="8"/>
  <c r="M28" i="8"/>
  <c r="O36" i="8"/>
  <c r="O37" i="8"/>
  <c r="O18" i="8"/>
  <c r="O19" i="8"/>
  <c r="N68" i="8"/>
  <c r="N69" i="8"/>
  <c r="N29" i="8"/>
  <c r="N30" i="8"/>
  <c r="N63" i="8"/>
  <c r="O30" i="8"/>
  <c r="O29" i="8"/>
  <c r="M39" i="8"/>
  <c r="N36" i="8"/>
  <c r="N37" i="8"/>
  <c r="M72" i="8"/>
  <c r="N18" i="8"/>
  <c r="O71" i="8"/>
  <c r="O77" i="8"/>
  <c r="M56" i="8"/>
  <c r="M57" i="8"/>
  <c r="N56" i="8"/>
  <c r="N57" i="8"/>
  <c r="N8" i="8"/>
  <c r="N24" i="8"/>
  <c r="N25" i="8"/>
  <c r="N20" i="8"/>
  <c r="O22" i="8"/>
  <c r="O33" i="8"/>
  <c r="O72" i="8"/>
  <c r="P16" i="7"/>
  <c r="P9" i="7"/>
  <c r="P22" i="7"/>
  <c r="P103" i="7"/>
  <c r="P125" i="7"/>
  <c r="P64" i="7"/>
  <c r="P122" i="7"/>
  <c r="P67" i="7"/>
  <c r="P68" i="7"/>
  <c r="P29" i="7"/>
  <c r="P106" i="7"/>
  <c r="P17" i="7"/>
  <c r="O88" i="7"/>
  <c r="O89" i="7"/>
  <c r="P19" i="7"/>
  <c r="P38" i="7"/>
  <c r="P8" i="7"/>
  <c r="P21" i="7"/>
  <c r="P12" i="7"/>
  <c r="P27" i="7"/>
  <c r="P23" i="7"/>
  <c r="P18" i="7"/>
  <c r="N112" i="7"/>
  <c r="P111" i="7"/>
  <c r="O79" i="7"/>
  <c r="N83" i="7"/>
  <c r="P83" i="7" s="1"/>
  <c r="O86" i="7"/>
  <c r="P86" i="7" s="1"/>
  <c r="O90" i="7"/>
  <c r="P90" i="7" s="1"/>
  <c r="P31" i="7"/>
  <c r="O50" i="7"/>
  <c r="P50" i="7" s="1"/>
  <c r="N32" i="7"/>
  <c r="O42" i="7"/>
  <c r="P42" i="7" s="1"/>
  <c r="P63" i="7"/>
  <c r="P80" i="7"/>
  <c r="P78" i="7"/>
  <c r="P84" i="7"/>
  <c r="P13" i="7"/>
  <c r="N48" i="7"/>
  <c r="P48" i="7" s="1"/>
  <c r="P44" i="7"/>
  <c r="P46" i="7"/>
  <c r="P115" i="7"/>
  <c r="O76" i="7"/>
  <c r="P76" i="7" s="1"/>
  <c r="P100" i="7"/>
  <c r="P102" i="7"/>
  <c r="P15" i="7"/>
  <c r="P28" i="7"/>
  <c r="P36" i="7"/>
  <c r="O62" i="7"/>
  <c r="P62" i="7" s="1"/>
  <c r="N96" i="7"/>
  <c r="P96" i="7" s="1"/>
  <c r="O112" i="7"/>
  <c r="N52" i="7"/>
  <c r="P52" i="7" s="1"/>
  <c r="P73" i="7"/>
  <c r="O75" i="7"/>
  <c r="P75" i="7" s="1"/>
  <c r="O37" i="7"/>
  <c r="P110" i="7"/>
  <c r="P97" i="7"/>
  <c r="P117" i="7"/>
  <c r="P66" i="7"/>
  <c r="P20" i="7"/>
  <c r="N26" i="7"/>
  <c r="P26" i="7" s="1"/>
  <c r="P39" i="7"/>
  <c r="P118" i="7"/>
  <c r="P74" i="7"/>
  <c r="N94" i="7"/>
  <c r="P94" i="7" s="1"/>
  <c r="N95" i="7"/>
  <c r="P120" i="7"/>
  <c r="P124" i="7"/>
  <c r="P30" i="7"/>
  <c r="P10" i="7"/>
  <c r="P45" i="7"/>
  <c r="P47" i="7"/>
  <c r="P51" i="7"/>
  <c r="P114" i="7"/>
  <c r="P121" i="7"/>
  <c r="P104" i="7"/>
  <c r="P55" i="7"/>
  <c r="N65" i="7"/>
  <c r="P65" i="7" s="1"/>
  <c r="P85" i="7"/>
  <c r="P107" i="7"/>
  <c r="N91" i="7"/>
  <c r="N92" i="7"/>
  <c r="P11" i="7"/>
  <c r="P43" i="7"/>
  <c r="O40" i="7"/>
  <c r="O92" i="7"/>
  <c r="O91" i="7"/>
  <c r="N24" i="7"/>
  <c r="N77" i="7"/>
  <c r="O77" i="7"/>
  <c r="O24" i="7"/>
  <c r="N79" i="7"/>
  <c r="N93" i="7"/>
  <c r="P93" i="7" s="1"/>
  <c r="N101" i="7"/>
  <c r="P101" i="7" s="1"/>
  <c r="N109" i="7"/>
  <c r="P109" i="7" s="1"/>
  <c r="N37" i="7"/>
  <c r="O95" i="7"/>
  <c r="M70" i="8" l="1"/>
  <c r="N59" i="8"/>
  <c r="N5" i="8"/>
  <c r="N79" i="8"/>
  <c r="N70" i="8"/>
  <c r="M71" i="8"/>
  <c r="M77" i="8"/>
  <c r="O41" i="8"/>
  <c r="N77" i="8"/>
  <c r="N71" i="8"/>
  <c r="P24" i="7"/>
  <c r="P77" i="7"/>
  <c r="P81" i="7"/>
  <c r="N105" i="7"/>
  <c r="P92" i="7"/>
  <c r="P37" i="7"/>
  <c r="O98" i="7"/>
  <c r="P79" i="7"/>
  <c r="P112" i="7"/>
  <c r="N88" i="7"/>
  <c r="P88" i="7" s="1"/>
  <c r="N89" i="7"/>
  <c r="P89" i="7" s="1"/>
  <c r="N40" i="7"/>
  <c r="P40" i="7" s="1"/>
  <c r="O54" i="7"/>
  <c r="O61" i="7"/>
  <c r="P61" i="7" s="1"/>
  <c r="N69" i="7"/>
  <c r="N123" i="7"/>
  <c r="O105" i="7"/>
  <c r="P95" i="7"/>
  <c r="N70" i="7"/>
  <c r="N54" i="7"/>
  <c r="O32" i="7"/>
  <c r="P32" i="7" s="1"/>
  <c r="P91" i="7"/>
  <c r="M59" i="8" l="1"/>
  <c r="O21" i="8"/>
  <c r="O39" i="8"/>
  <c r="M62" i="8"/>
  <c r="M21" i="8"/>
  <c r="M61" i="8"/>
  <c r="O79" i="8"/>
  <c r="O70" i="8"/>
  <c r="O78" i="8"/>
  <c r="N62" i="8"/>
  <c r="N21" i="8"/>
  <c r="N61" i="8"/>
  <c r="M78" i="8"/>
  <c r="N78" i="8"/>
  <c r="M79" i="8"/>
  <c r="P105" i="7"/>
  <c r="N98" i="7"/>
  <c r="P98" i="7" s="1"/>
  <c r="N33" i="7"/>
  <c r="O33" i="7"/>
  <c r="N126" i="7"/>
  <c r="O69" i="7"/>
  <c r="P69" i="7" s="1"/>
  <c r="P54" i="7"/>
  <c r="O123" i="7"/>
  <c r="P123" i="7" s="1"/>
  <c r="O70" i="7"/>
  <c r="P70" i="7" s="1"/>
  <c r="O59" i="8" l="1"/>
  <c r="O62" i="8"/>
  <c r="M81" i="8"/>
  <c r="M84" i="8"/>
  <c r="M80" i="8"/>
  <c r="M94" i="8"/>
  <c r="N81" i="8"/>
  <c r="N84" i="8"/>
  <c r="N80" i="8"/>
  <c r="N94" i="8"/>
  <c r="O61" i="8"/>
  <c r="O80" i="8"/>
  <c r="O94" i="8"/>
  <c r="P33" i="7"/>
  <c r="N71" i="7"/>
  <c r="O71" i="7"/>
  <c r="O126" i="7"/>
  <c r="P126" i="7" s="1"/>
  <c r="N83" i="8" l="1"/>
  <c r="M83" i="8"/>
  <c r="O81" i="8"/>
  <c r="O84" i="8"/>
  <c r="O83" i="8"/>
  <c r="P71" i="7"/>
  <c r="M98" i="8" l="1"/>
  <c r="M93" i="8"/>
  <c r="O98" i="8"/>
  <c r="O93" i="8"/>
  <c r="N98" i="8"/>
  <c r="N93" i="8"/>
  <c r="J58" i="4" l="1"/>
  <c r="E82" i="6"/>
  <c r="F81" i="6"/>
  <c r="E81" i="6"/>
  <c r="E77" i="6"/>
  <c r="E68" i="6"/>
  <c r="E69" i="6" s="1"/>
  <c r="E57" i="6"/>
  <c r="E58" i="6" s="1"/>
  <c r="E46" i="6"/>
  <c r="E42" i="6"/>
  <c r="E31" i="6"/>
  <c r="E32" i="6" s="1"/>
  <c r="E17" i="6"/>
  <c r="E18" i="6" s="1"/>
  <c r="F77" i="6"/>
  <c r="E78" i="6"/>
  <c r="F68" i="6"/>
  <c r="F69" i="6" s="1"/>
  <c r="F57" i="6"/>
  <c r="F58" i="6" s="1"/>
  <c r="F17" i="6"/>
  <c r="F18" i="6" s="1"/>
  <c r="F31" i="6"/>
  <c r="F32" i="6" s="1"/>
  <c r="F42" i="6"/>
  <c r="F43" i="6" s="1"/>
  <c r="E43" i="6"/>
  <c r="F46" i="6"/>
  <c r="F47" i="6" s="1"/>
  <c r="E47" i="6"/>
  <c r="G98" i="5" l="1"/>
  <c r="E98" i="5"/>
  <c r="C98" i="5"/>
  <c r="G86" i="5"/>
  <c r="E86" i="5"/>
  <c r="C86" i="5"/>
  <c r="G85" i="5"/>
  <c r="E85" i="5"/>
  <c r="C85" i="5"/>
  <c r="G82" i="5"/>
  <c r="E82" i="5"/>
  <c r="C82" i="5"/>
  <c r="G75" i="5"/>
  <c r="E75" i="5"/>
  <c r="C75" i="5"/>
  <c r="G65" i="5"/>
  <c r="E65" i="5"/>
  <c r="C65" i="5"/>
  <c r="C63" i="5"/>
  <c r="G63" i="5"/>
  <c r="E63" i="5"/>
  <c r="C43" i="5"/>
  <c r="G43" i="5"/>
  <c r="E43" i="5"/>
  <c r="G40" i="5"/>
  <c r="E40" i="5"/>
  <c r="C40" i="5"/>
  <c r="G36" i="5"/>
  <c r="E36" i="5"/>
  <c r="C36" i="5"/>
  <c r="G33" i="5"/>
  <c r="E33" i="5"/>
  <c r="C33" i="5"/>
  <c r="G24" i="5"/>
  <c r="E24" i="5"/>
  <c r="C24" i="5"/>
  <c r="G8" i="5"/>
  <c r="C8" i="5"/>
  <c r="N60" i="2" l="1"/>
  <c r="K60" i="2"/>
  <c r="L60" i="2"/>
  <c r="M60" i="2"/>
  <c r="J60" i="2"/>
  <c r="G143" i="4" l="1"/>
  <c r="G137" i="4"/>
  <c r="G117" i="4"/>
  <c r="G125" i="4"/>
  <c r="C143" i="4"/>
  <c r="E141" i="4"/>
  <c r="C141" i="4"/>
  <c r="E137" i="4"/>
  <c r="C137" i="4"/>
  <c r="E125" i="4"/>
  <c r="C125" i="4"/>
  <c r="G141" i="4" l="1"/>
  <c r="E117" i="4" l="1"/>
  <c r="C117" i="4"/>
  <c r="C92" i="4"/>
  <c r="G92" i="4"/>
  <c r="E92" i="4"/>
  <c r="G77" i="4"/>
  <c r="E77" i="4"/>
  <c r="C77" i="4"/>
  <c r="G66" i="4"/>
  <c r="E66" i="4"/>
  <c r="C66" i="4"/>
  <c r="D62" i="4"/>
  <c r="E60" i="4"/>
  <c r="G53" i="4"/>
  <c r="G45" i="4"/>
  <c r="C60" i="4"/>
  <c r="E53" i="4"/>
  <c r="C53" i="4"/>
  <c r="E45" i="4"/>
  <c r="C45" i="4"/>
  <c r="G37" i="4"/>
  <c r="E37" i="4"/>
  <c r="C37" i="4"/>
  <c r="G35" i="4"/>
  <c r="E35" i="4"/>
  <c r="C35" i="4"/>
  <c r="G27" i="4"/>
  <c r="E27" i="4"/>
  <c r="C27" i="4"/>
  <c r="F16" i="4"/>
  <c r="G16" i="4"/>
  <c r="E16" i="4"/>
  <c r="C16" i="4"/>
  <c r="G104" i="5"/>
  <c r="G106" i="5" s="1"/>
  <c r="G107" i="5" s="1"/>
  <c r="E104" i="5"/>
  <c r="E105" i="5" s="1"/>
  <c r="C104" i="5"/>
  <c r="C105" i="5" s="1"/>
  <c r="G100" i="5"/>
  <c r="E100" i="5"/>
  <c r="H98" i="5"/>
  <c r="F98" i="5"/>
  <c r="D98" i="5"/>
  <c r="H90" i="5"/>
  <c r="F90" i="5"/>
  <c r="D90" i="5"/>
  <c r="H88" i="5"/>
  <c r="F88" i="5"/>
  <c r="D88" i="5"/>
  <c r="H86" i="5"/>
  <c r="F86" i="5"/>
  <c r="D86" i="5"/>
  <c r="H85" i="5"/>
  <c r="F85" i="5"/>
  <c r="D85" i="5"/>
  <c r="H84" i="5"/>
  <c r="F84" i="5"/>
  <c r="D84" i="5"/>
  <c r="H82" i="5"/>
  <c r="F82" i="5"/>
  <c r="D82" i="5"/>
  <c r="H81" i="5"/>
  <c r="F81" i="5"/>
  <c r="D81" i="5"/>
  <c r="D80" i="5"/>
  <c r="H79" i="5"/>
  <c r="F79" i="5"/>
  <c r="D79" i="5"/>
  <c r="H76" i="5"/>
  <c r="H75" i="5"/>
  <c r="F75" i="5"/>
  <c r="D75" i="5"/>
  <c r="H73" i="5"/>
  <c r="F73" i="5"/>
  <c r="D73" i="5"/>
  <c r="H71" i="5"/>
  <c r="F71" i="5"/>
  <c r="D71" i="5"/>
  <c r="H70" i="5"/>
  <c r="F70" i="5"/>
  <c r="D70" i="5"/>
  <c r="G69" i="5"/>
  <c r="E69" i="5"/>
  <c r="H65" i="5"/>
  <c r="F65" i="5"/>
  <c r="D65" i="5"/>
  <c r="H63" i="5"/>
  <c r="F63" i="5"/>
  <c r="D63" i="5"/>
  <c r="H60" i="5"/>
  <c r="H59" i="5"/>
  <c r="F59" i="5"/>
  <c r="D59" i="5"/>
  <c r="H55" i="5"/>
  <c r="F55" i="5"/>
  <c r="D55" i="5"/>
  <c r="H48" i="5"/>
  <c r="F48" i="5"/>
  <c r="D48" i="5"/>
  <c r="H45" i="5"/>
  <c r="F45" i="5"/>
  <c r="D45" i="5"/>
  <c r="H44" i="5"/>
  <c r="F44" i="5"/>
  <c r="D44" i="5"/>
  <c r="D43" i="5" s="1"/>
  <c r="H43" i="5"/>
  <c r="F43" i="5"/>
  <c r="H42" i="5"/>
  <c r="F42" i="5"/>
  <c r="D42" i="5"/>
  <c r="H41" i="5"/>
  <c r="F41" i="5"/>
  <c r="D41" i="5"/>
  <c r="H40" i="5"/>
  <c r="F40" i="5"/>
  <c r="D40" i="5"/>
  <c r="H37" i="5"/>
  <c r="F37" i="5"/>
  <c r="D37" i="5"/>
  <c r="H36" i="5"/>
  <c r="F36" i="5"/>
  <c r="D36" i="5"/>
  <c r="H35" i="5"/>
  <c r="F35" i="5"/>
  <c r="D35" i="5"/>
  <c r="H34" i="5"/>
  <c r="F34" i="5"/>
  <c r="D34" i="5"/>
  <c r="H33" i="5"/>
  <c r="F33" i="5"/>
  <c r="D33" i="5"/>
  <c r="H31" i="5"/>
  <c r="F31" i="5"/>
  <c r="D31" i="5"/>
  <c r="H29" i="5"/>
  <c r="F29" i="5"/>
  <c r="D29" i="5"/>
  <c r="H28" i="5"/>
  <c r="F28" i="5"/>
  <c r="D28" i="5"/>
  <c r="H27" i="5"/>
  <c r="F27" i="5"/>
  <c r="D27" i="5"/>
  <c r="H26" i="5"/>
  <c r="F26" i="5"/>
  <c r="D26" i="5"/>
  <c r="G25" i="5"/>
  <c r="E25" i="5"/>
  <c r="D22" i="5"/>
  <c r="H21" i="5"/>
  <c r="F21" i="5"/>
  <c r="D21" i="5"/>
  <c r="H12" i="5"/>
  <c r="F12" i="5"/>
  <c r="D12" i="5"/>
  <c r="H11" i="5"/>
  <c r="F11" i="5"/>
  <c r="D11" i="5"/>
  <c r="H8" i="5"/>
  <c r="F8" i="5"/>
  <c r="D8" i="5"/>
  <c r="H143" i="4"/>
  <c r="E143" i="4"/>
  <c r="F120" i="4" s="1"/>
  <c r="F60" i="4"/>
  <c r="F47" i="4"/>
  <c r="F20" i="4"/>
  <c r="F19" i="4"/>
  <c r="F12" i="4"/>
  <c r="D12" i="4"/>
  <c r="E104" i="1"/>
  <c r="E106" i="1" s="1"/>
  <c r="E107" i="1" s="1"/>
  <c r="G104" i="1"/>
  <c r="G105" i="1" s="1"/>
  <c r="C104" i="1"/>
  <c r="C106" i="1" s="1"/>
  <c r="C107" i="1" s="1"/>
  <c r="G143" i="2"/>
  <c r="H77" i="2" s="1"/>
  <c r="H76" i="2"/>
  <c r="H85" i="2"/>
  <c r="H91" i="2"/>
  <c r="H124" i="2"/>
  <c r="H134" i="2"/>
  <c r="H137" i="2"/>
  <c r="H141" i="2"/>
  <c r="H143" i="2"/>
  <c r="H70" i="2"/>
  <c r="F71" i="2"/>
  <c r="F117" i="2"/>
  <c r="C143" i="2"/>
  <c r="C145" i="2" s="1"/>
  <c r="E143" i="2"/>
  <c r="F79" i="2" s="1"/>
  <c r="H71" i="2"/>
  <c r="H12" i="2"/>
  <c r="F12" i="2"/>
  <c r="G66" i="2"/>
  <c r="H37" i="2" s="1"/>
  <c r="E66" i="2"/>
  <c r="F41" i="2" s="1"/>
  <c r="C66" i="2"/>
  <c r="D22" i="2" s="1"/>
  <c r="D12" i="2"/>
  <c r="G69" i="1"/>
  <c r="E69" i="1"/>
  <c r="G100" i="1"/>
  <c r="E100" i="1"/>
  <c r="H28" i="1"/>
  <c r="H29" i="1"/>
  <c r="H31" i="1"/>
  <c r="H33" i="1"/>
  <c r="H34" i="1"/>
  <c r="H35" i="1"/>
  <c r="H36" i="1"/>
  <c r="H37" i="1"/>
  <c r="H40" i="1"/>
  <c r="H41" i="1"/>
  <c r="H42" i="1"/>
  <c r="H43" i="1"/>
  <c r="H44" i="1"/>
  <c r="H45" i="1"/>
  <c r="H48" i="1"/>
  <c r="H55" i="1"/>
  <c r="H59" i="1"/>
  <c r="H60" i="1"/>
  <c r="H63" i="1"/>
  <c r="H65" i="1"/>
  <c r="H70" i="1"/>
  <c r="H71" i="1"/>
  <c r="H73" i="1"/>
  <c r="H75" i="1"/>
  <c r="H76" i="1"/>
  <c r="H79" i="1"/>
  <c r="H81" i="1"/>
  <c r="H82" i="1"/>
  <c r="H84" i="1"/>
  <c r="H85" i="1"/>
  <c r="H86" i="1"/>
  <c r="H88" i="1"/>
  <c r="H90" i="1"/>
  <c r="H98" i="1"/>
  <c r="H27" i="1"/>
  <c r="H26" i="1"/>
  <c r="G25" i="1"/>
  <c r="E25" i="1"/>
  <c r="H21" i="1"/>
  <c r="H12" i="1"/>
  <c r="H11" i="1"/>
  <c r="H8" i="1"/>
  <c r="F98" i="1"/>
  <c r="F90" i="1"/>
  <c r="F88" i="1"/>
  <c r="F86" i="1"/>
  <c r="F85" i="1"/>
  <c r="F84" i="1"/>
  <c r="F82" i="1"/>
  <c r="F81" i="1"/>
  <c r="F79" i="1"/>
  <c r="F75" i="1"/>
  <c r="F73" i="1"/>
  <c r="F71" i="1"/>
  <c r="F70" i="1"/>
  <c r="F65" i="1"/>
  <c r="F63" i="1"/>
  <c r="F59" i="1"/>
  <c r="F55" i="1"/>
  <c r="F48" i="1"/>
  <c r="F45" i="1"/>
  <c r="F44" i="1"/>
  <c r="F43" i="1"/>
  <c r="F42" i="1"/>
  <c r="F41" i="1"/>
  <c r="F40" i="1"/>
  <c r="F37" i="1"/>
  <c r="F36" i="1"/>
  <c r="F35" i="1"/>
  <c r="F34" i="1"/>
  <c r="F33" i="1"/>
  <c r="F31" i="1"/>
  <c r="F29" i="1"/>
  <c r="F28" i="1"/>
  <c r="F27" i="1"/>
  <c r="F26" i="1"/>
  <c r="F21" i="1"/>
  <c r="F12" i="1"/>
  <c r="F11" i="1"/>
  <c r="F8" i="1"/>
  <c r="D85" i="1"/>
  <c r="D98" i="1"/>
  <c r="D90" i="1"/>
  <c r="D88" i="1"/>
  <c r="D86" i="1"/>
  <c r="D84" i="1"/>
  <c r="D82" i="1"/>
  <c r="D81" i="1"/>
  <c r="D80" i="1"/>
  <c r="D79" i="1"/>
  <c r="D75" i="1"/>
  <c r="D73" i="1"/>
  <c r="D71" i="1"/>
  <c r="D70" i="1"/>
  <c r="D65" i="1"/>
  <c r="D63" i="1"/>
  <c r="D59" i="1"/>
  <c r="D55" i="1"/>
  <c r="D48" i="1"/>
  <c r="D45" i="1"/>
  <c r="D44" i="1"/>
  <c r="D42" i="1"/>
  <c r="D41" i="1"/>
  <c r="D40" i="1"/>
  <c r="D37" i="1"/>
  <c r="D36" i="1"/>
  <c r="D35" i="1"/>
  <c r="D34" i="1"/>
  <c r="D33" i="1"/>
  <c r="D31" i="1"/>
  <c r="D29" i="1"/>
  <c r="D28" i="1"/>
  <c r="D27" i="1"/>
  <c r="D26" i="1"/>
  <c r="D8" i="1"/>
  <c r="D12" i="1"/>
  <c r="D11" i="1"/>
  <c r="D21" i="1"/>
  <c r="D22" i="1"/>
  <c r="E106" i="5" l="1"/>
  <c r="E107" i="5" s="1"/>
  <c r="G105" i="5"/>
  <c r="C106" i="5"/>
  <c r="C107" i="5" s="1"/>
  <c r="F24" i="5"/>
  <c r="C105" i="1"/>
  <c r="G106" i="1"/>
  <c r="G107" i="1" s="1"/>
  <c r="E105" i="1"/>
  <c r="H85" i="4"/>
  <c r="H124" i="4"/>
  <c r="F85" i="4"/>
  <c r="F125" i="4"/>
  <c r="F131" i="4"/>
  <c r="F72" i="4"/>
  <c r="F77" i="4"/>
  <c r="D71" i="4"/>
  <c r="H125" i="4"/>
  <c r="H131" i="4"/>
  <c r="H137" i="4"/>
  <c r="H72" i="4"/>
  <c r="H76" i="4"/>
  <c r="H77" i="4"/>
  <c r="H81" i="4"/>
  <c r="H141" i="4"/>
  <c r="H112" i="4"/>
  <c r="H70" i="4"/>
  <c r="H117" i="4"/>
  <c r="H91" i="4"/>
  <c r="H71" i="4"/>
  <c r="H120" i="4"/>
  <c r="F91" i="4"/>
  <c r="F71" i="4"/>
  <c r="F141" i="4"/>
  <c r="F76" i="4"/>
  <c r="F117" i="4"/>
  <c r="F75" i="4"/>
  <c r="D16" i="4"/>
  <c r="D34" i="4"/>
  <c r="F45" i="4"/>
  <c r="F50" i="4"/>
  <c r="H34" i="4"/>
  <c r="F63" i="4"/>
  <c r="D63" i="4"/>
  <c r="H58" i="4"/>
  <c r="H12" i="4"/>
  <c r="F27" i="4"/>
  <c r="F34" i="4"/>
  <c r="F53" i="4"/>
  <c r="F35" i="4"/>
  <c r="F58" i="4"/>
  <c r="F41" i="4"/>
  <c r="F62" i="4"/>
  <c r="E145" i="4"/>
  <c r="F18" i="4"/>
  <c r="D53" i="4"/>
  <c r="D27" i="4"/>
  <c r="D19" i="4"/>
  <c r="D58" i="4"/>
  <c r="D45" i="4"/>
  <c r="D35" i="4"/>
  <c r="D20" i="4"/>
  <c r="D47" i="4"/>
  <c r="H24" i="5"/>
  <c r="D24" i="5"/>
  <c r="D37" i="4"/>
  <c r="D48" i="4"/>
  <c r="D60" i="4"/>
  <c r="E67" i="4"/>
  <c r="F73" i="4"/>
  <c r="F79" i="4"/>
  <c r="F92" i="4"/>
  <c r="F122" i="4"/>
  <c r="F134" i="4"/>
  <c r="D26" i="4"/>
  <c r="F37" i="4"/>
  <c r="F48" i="4"/>
  <c r="H79" i="4"/>
  <c r="H92" i="4"/>
  <c r="H122" i="4"/>
  <c r="H134" i="4"/>
  <c r="F143" i="4"/>
  <c r="D22" i="4"/>
  <c r="F74" i="4"/>
  <c r="D18" i="4"/>
  <c r="D41" i="4"/>
  <c r="D50" i="4"/>
  <c r="F70" i="4"/>
  <c r="F81" i="4"/>
  <c r="F112" i="4"/>
  <c r="F124" i="4"/>
  <c r="F137" i="4"/>
  <c r="H112" i="2"/>
  <c r="F112" i="2"/>
  <c r="F92" i="2"/>
  <c r="F70" i="2"/>
  <c r="F91" i="2"/>
  <c r="F143" i="2"/>
  <c r="F85" i="2"/>
  <c r="F137" i="2"/>
  <c r="F81" i="2"/>
  <c r="F134" i="2"/>
  <c r="F77" i="2"/>
  <c r="F131" i="2"/>
  <c r="F76" i="2"/>
  <c r="H122" i="2"/>
  <c r="F125" i="2"/>
  <c r="F75" i="2"/>
  <c r="H120" i="2"/>
  <c r="F124" i="2"/>
  <c r="F74" i="2"/>
  <c r="H117" i="2"/>
  <c r="F122" i="2"/>
  <c r="F73" i="2"/>
  <c r="F120" i="2"/>
  <c r="F72" i="2"/>
  <c r="H92" i="2"/>
  <c r="H81" i="2"/>
  <c r="H79" i="2"/>
  <c r="D70" i="2"/>
  <c r="D129" i="2"/>
  <c r="D91" i="2"/>
  <c r="D76" i="2"/>
  <c r="D85" i="2"/>
  <c r="D143" i="2"/>
  <c r="D81" i="2"/>
  <c r="D141" i="2"/>
  <c r="D79" i="2"/>
  <c r="D137" i="2"/>
  <c r="D77" i="2"/>
  <c r="D134" i="2"/>
  <c r="D75" i="2"/>
  <c r="D125" i="2"/>
  <c r="D74" i="2"/>
  <c r="D124" i="2"/>
  <c r="D73" i="2"/>
  <c r="D122" i="2"/>
  <c r="D72" i="2"/>
  <c r="E145" i="2"/>
  <c r="D120" i="2"/>
  <c r="D71" i="2"/>
  <c r="G145" i="2"/>
  <c r="D117" i="2"/>
  <c r="D112" i="2"/>
  <c r="H131" i="2"/>
  <c r="H72" i="2"/>
  <c r="D92" i="2"/>
  <c r="F141" i="2"/>
  <c r="H125" i="2"/>
  <c r="D60" i="2"/>
  <c r="D53" i="2"/>
  <c r="D48" i="2"/>
  <c r="H63" i="2"/>
  <c r="H62" i="2"/>
  <c r="H60" i="2"/>
  <c r="H47" i="2"/>
  <c r="H50" i="2"/>
  <c r="F18" i="2"/>
  <c r="F63" i="2"/>
  <c r="F62" i="2"/>
  <c r="H48" i="2"/>
  <c r="F60" i="2"/>
  <c r="H41" i="2"/>
  <c r="D58" i="2"/>
  <c r="F35" i="2"/>
  <c r="G67" i="2"/>
  <c r="F34" i="2"/>
  <c r="H35" i="2"/>
  <c r="D50" i="2"/>
  <c r="F27" i="2"/>
  <c r="H34" i="2"/>
  <c r="H45" i="2"/>
  <c r="F37" i="2"/>
  <c r="H26" i="2"/>
  <c r="D47" i="2"/>
  <c r="F16" i="2"/>
  <c r="H20" i="2"/>
  <c r="F50" i="2"/>
  <c r="F20" i="2"/>
  <c r="D20" i="2"/>
  <c r="H16" i="2"/>
  <c r="H19" i="2"/>
  <c r="F19" i="2"/>
  <c r="D45" i="2"/>
  <c r="D41" i="2"/>
  <c r="F58" i="2"/>
  <c r="D37" i="2"/>
  <c r="F53" i="2"/>
  <c r="H18" i="2"/>
  <c r="H27" i="2"/>
  <c r="D18" i="2"/>
  <c r="D27" i="2"/>
  <c r="F47" i="2"/>
  <c r="D63" i="2"/>
  <c r="D26" i="2"/>
  <c r="F45" i="2"/>
  <c r="H58" i="2"/>
  <c r="E67" i="2"/>
  <c r="D16" i="2"/>
  <c r="D35" i="2"/>
  <c r="D34" i="2"/>
  <c r="F48" i="2"/>
  <c r="D19" i="2"/>
  <c r="D62" i="2"/>
  <c r="H53" i="2"/>
  <c r="H24" i="1"/>
  <c r="D43" i="1"/>
  <c r="D24" i="1"/>
  <c r="F24" i="1"/>
  <c r="D125" i="4" l="1"/>
  <c r="D74" i="4"/>
  <c r="D70" i="4"/>
  <c r="D120" i="4"/>
  <c r="D85" i="4"/>
  <c r="D134" i="4"/>
  <c r="D72" i="4"/>
  <c r="D122" i="4"/>
  <c r="D91" i="4"/>
  <c r="D92" i="4"/>
  <c r="D75" i="4"/>
  <c r="C145" i="4"/>
  <c r="D79" i="4"/>
  <c r="D77" i="4"/>
  <c r="D137" i="4"/>
  <c r="D73" i="4"/>
  <c r="D76" i="4"/>
  <c r="D124" i="4"/>
  <c r="D143" i="4"/>
  <c r="D129" i="4"/>
  <c r="D112" i="4"/>
  <c r="D117" i="4"/>
  <c r="D81" i="4"/>
  <c r="D141" i="4"/>
  <c r="G67" i="4"/>
  <c r="H35" i="4"/>
  <c r="H62" i="4"/>
  <c r="H60" i="4"/>
  <c r="G145" i="4"/>
  <c r="H53" i="4"/>
  <c r="H41" i="4"/>
  <c r="H63" i="4"/>
  <c r="H45" i="4"/>
  <c r="H48" i="4"/>
  <c r="H18" i="4"/>
  <c r="H37" i="4"/>
  <c r="H27" i="4"/>
  <c r="H47" i="4"/>
  <c r="H26" i="4"/>
  <c r="H19" i="4"/>
  <c r="H16" i="4"/>
  <c r="H20" i="4"/>
  <c r="H50" i="4"/>
</calcChain>
</file>

<file path=xl/sharedStrings.xml><?xml version="1.0" encoding="utf-8"?>
<sst xmlns="http://schemas.openxmlformats.org/spreadsheetml/2006/main" count="1310" uniqueCount="725">
  <si>
    <t>No. Description</t>
  </si>
  <si>
    <t>1.       Net turnover (row 03 + 04 - 05 + 06)</t>
  </si>
  <si>
    <t xml:space="preserve"> - out of which net turnover for the main activity</t>
  </si>
  <si>
    <t>- out of which, the net turnover achieved from operations carried out on national territory</t>
  </si>
  <si>
    <t xml:space="preserve">         Sales of goods (acc.  701 + 702 + 703 + 704 + 705 + 706 + 708)</t>
  </si>
  <si>
    <t xml:space="preserve">         Sales of merchandise (acc. 707) </t>
  </si>
  <si>
    <t xml:space="preserve">         Discounts granted (acc. 709)</t>
  </si>
  <si>
    <t xml:space="preserve">         Revenue from operating subsidies related to the turnover (acc. 7411)</t>
  </si>
  <si>
    <t xml:space="preserve">        Revenue related to the cost of the work in progress (acc. 711 + 712)   - Dr Balance</t>
  </si>
  <si>
    <t>7. Other operating income (acc. 751 + 758 + 7815)</t>
  </si>
  <si>
    <t xml:space="preserve">             - out of which, income from investment subsidies (acc. 7584)</t>
  </si>
  <si>
    <t xml:space="preserve">             - out of which, income from negative goodwill (acc. 7815)</t>
  </si>
  <si>
    <t>OPERATING INCOME – TOTAL
(rows 01 + 07 – 08 + 09 + 10 + 11 + 12 + 13)</t>
  </si>
  <si>
    <t xml:space="preserve">         Other material expenses (acc. 603 + 604 + 606 + 608)</t>
  </si>
  <si>
    <t xml:space="preserve">    b) Other external expenses (power and water supply) (acc. 605)</t>
  </si>
  <si>
    <t>- 	out of which, expenses with power consumption (acc. 6051)</t>
  </si>
  <si>
    <t>- out of which, expenses with natural gas consumption (acc. 6053)</t>
  </si>
  <si>
    <t xml:space="preserve">        c)  Merchandise expenses (acc. 607)</t>
  </si>
  <si>
    <t>Commercial discounts received (acc. 609)</t>
  </si>
  <si>
    <t>9. Personnel expenses (rows 25 + 26), out of which:</t>
  </si>
  <si>
    <t xml:space="preserve">         a) Salaries and allowance (acc. 641 + 642 + 643 + 644)</t>
  </si>
  <si>
    <t xml:space="preserve">         b) Social security (acc. 645 + 646)</t>
  </si>
  <si>
    <t>10. a) Value adjustments regarding tangible and intangible assets  (rows 28+29-30)</t>
  </si>
  <si>
    <t xml:space="preserve">         a. 1) Expenses with depreciation and amortisation (acc. 6811)</t>
  </si>
  <si>
    <t xml:space="preserve">         a. 2) Other expenses (acc. 6813 + 6817+ from acc. 6818)</t>
  </si>
  <si>
    <t xml:space="preserve">         a. 3) Income (acc. 7813 + from acc. 7818)</t>
  </si>
  <si>
    <t>10. b) Value adjustments regarding current assets (rows 31 – 32)</t>
  </si>
  <si>
    <t xml:space="preserve">         b. 1) Expenses (acc. 654 + 6814 + from acc. 6818)</t>
  </si>
  <si>
    <t xml:space="preserve">         b. 2) Income (acc. 754 + 7814 + from acc. 7818)</t>
  </si>
  <si>
    <t>11. Other operating expenses (rows 35 + 36 + 40 + 42 + 44 + 46 + 47 + 48 + 49 + 50)</t>
  </si>
  <si>
    <t xml:space="preserve">         11.1. External services expenses (acc. 611 + 613 + 614 + 615 + 621 + 622 + 623 + 624 + 625 + 626 + 627 + 628)</t>
  </si>
  <si>
    <t xml:space="preserve">         11.2.Expenses with Royalties, management leases and rental (acc. 612)</t>
  </si>
  <si>
    <t xml:space="preserve">          - Expenses with Royalties (acc. 6121)</t>
  </si>
  <si>
    <t xml:space="preserve">          - Expenses with Management leases (acc. 6122)</t>
  </si>
  <si>
    <t xml:space="preserve">          - Expenses with Rent expenses (acc. 6123)</t>
  </si>
  <si>
    <t xml:space="preserve">         11.2.Expenses with Intellectual property rights (acc. 616)</t>
  </si>
  <si>
    <t xml:space="preserve">             - of which, expenses related to affiliates</t>
  </si>
  <si>
    <t xml:space="preserve">         11.4. Expenses with management (acc. 617*)</t>
  </si>
  <si>
    <t xml:space="preserve">         11.5. Expenses with consulting (acc. 618)</t>
  </si>
  <si>
    <t xml:space="preserve">         11.6. Expenses with other taxes, charges and similar expenses; Transfers and contributions owed based on special acts of legislation (acc. 635 + 6586)</t>
  </si>
  <si>
    <t xml:space="preserve">         11.7. Expenses with environmental protection (acc. 652)</t>
  </si>
  <si>
    <t xml:space="preserve">         11.8. Expenses related to revaluation of tangible assets (acc. 655)</t>
  </si>
  <si>
    <t xml:space="preserve">         11.9. Expenses related to natural disasters and other similar events (acc. 6587)</t>
  </si>
  <si>
    <t xml:space="preserve">         11.10. Other expenses (acc. 651 + 6581 + 6582 + 6583 + 6584 + 6588)</t>
  </si>
  <si>
    <t>12. Adjustments regarding the provisions (rows 52 – 53)</t>
  </si>
  <si>
    <t xml:space="preserve">         - Expenses (acc. 6812)</t>
  </si>
  <si>
    <t xml:space="preserve">         - Income (acc. 7812)</t>
  </si>
  <si>
    <t>OPERATING EXPENSES – TOTAL  
(rows 17 + 18 + 19 + 22 – 23 + 24 + 27 + 31 + 34 + 51)</t>
  </si>
  <si>
    <t>OPERATING PROFIT OR LOSS</t>
  </si>
  <si>
    <t xml:space="preserve">         - Profit (rows 16 – 54)</t>
  </si>
  <si>
    <t xml:space="preserve">         - Loss (rows 54 – 16)</t>
  </si>
  <si>
    <t xml:space="preserve"> of which, income from affiliates</t>
  </si>
  <si>
    <t>- of which, income from affiliates</t>
  </si>
  <si>
    <t>- of which, income from financial assets (acc. 7615)</t>
  </si>
  <si>
    <t>FINANCIAL INCOME – TOTAL (rows 57 + 59 + 61 + 62)</t>
  </si>
  <si>
    <t xml:space="preserve">             Expenses (acc. 686)</t>
  </si>
  <si>
    <t xml:space="preserve">             Income (acc. 786)</t>
  </si>
  <si>
    <t>FINANCIAL EXPENSES – TOTAL (rows 65 + 68 + 70)</t>
  </si>
  <si>
    <t xml:space="preserve">         - Profit (row 64 – 71)</t>
  </si>
  <si>
    <t xml:space="preserve">         - Loss (row 71 – 64)</t>
  </si>
  <si>
    <t>TOTAL INCOME (rows 16 + 64)</t>
  </si>
  <si>
    <t>TOTAL EXPENSES (rows 54 + 71)</t>
  </si>
  <si>
    <t>GROSS PROFIT OR LOSS</t>
  </si>
  <si>
    <t xml:space="preserve">         - Profit (row 74 - 75)</t>
  </si>
  <si>
    <t xml:space="preserve">         - Loss (row 75 - 74)</t>
  </si>
  <si>
    <t>20.      Income Tax (acc. 691)</t>
  </si>
  <si>
    <t>- Loss (rows 77 + 78 + 79 + 81 + 82 - 80); 
           (rows 78 + 79 + 81 + 82 – 76 – 80)</t>
  </si>
  <si>
    <t>VioTrans Group SRL</t>
  </si>
  <si>
    <t>for the period ended 
December 31, 2023</t>
  </si>
  <si>
    <t>for the period ended 
December 31, 2024</t>
  </si>
  <si>
    <t>2.     Revenue related to the cost of the work in progress (acc. 711+712)            - Cr Balance</t>
  </si>
  <si>
    <t>3.       Income from production of tangible and intangible assets 
(acc. 721 + 722)</t>
  </si>
  <si>
    <t>4.       Income from the revaluation of tangible assets (acc. 755)</t>
  </si>
  <si>
    <t>5.      Income from production of real estate investments (acc. 725)</t>
  </si>
  <si>
    <t>6.       Income from operating subsidies (acc. 7412 + 7413 + 7414 + 7415 + 7416 + 7417 + 7419)</t>
  </si>
  <si>
    <t>8. a) Expenses related to raw materials and consumables (acc. 601 + 602)</t>
  </si>
  <si>
    <t>13. Income from participating interests (acc. 7611 + 7612 + 7613)</t>
  </si>
  <si>
    <t>14. Interest income (acc. 766)</t>
  </si>
  <si>
    <t>15. Income from operating subsidies for interest payable 
(acc. 7418)</t>
  </si>
  <si>
    <t>16. Other financial income (acc. 7615 + 762 + 764 + 765 + 767 + 768)</t>
  </si>
  <si>
    <t>17. Value adjustments regarding the financial assets and financial investments held as current assets (rows 66-67)</t>
  </si>
  <si>
    <t>18. Interest expenses (acc. 666*)</t>
  </si>
  <si>
    <t>19. Other financial expenses (acc. 663 + 664 + 665 + 667 + 668)</t>
  </si>
  <si>
    <t xml:space="preserve">21.  Expenses with income tax, including minimum turnover tax, resulting from income tax settlements in the tax group (acc. 694) </t>
  </si>
  <si>
    <t>22. Income from income tax, including minimum turnover tax, resulting from income tax settlements in the tax group (acc. 794)</t>
  </si>
  <si>
    <t>23. Expenses with income tax at the level of the minimum turnover tax (acc. 697)</t>
  </si>
  <si>
    <t>24. Other taxes not included in the captions above (acc. 698)</t>
  </si>
  <si>
    <t>NET PROFIT OR LOSS FOR THE REPORTING PERIOD
- Profit (rows 76 – 78 – 79 – 81 – 82 + 80)</t>
  </si>
  <si>
    <t>for the period ended 
December 31, 2022</t>
  </si>
  <si>
    <t>as at 
December 31, 2022</t>
  </si>
  <si>
    <t>as at 
December 31, 2023</t>
  </si>
  <si>
    <t xml:space="preserve">NON-CURRENT ASSETS </t>
  </si>
  <si>
    <t>I. INTANGIBLE ASSETS</t>
  </si>
  <si>
    <r>
      <t xml:space="preserve">       </t>
    </r>
    <r>
      <rPr>
        <b/>
        <sz val="8"/>
        <rFont val="Arial"/>
        <family val="2"/>
      </rPr>
      <t>1</t>
    </r>
    <r>
      <rPr>
        <sz val="8"/>
        <rFont val="Arial"/>
        <family val="2"/>
      </rPr>
      <t xml:space="preserve"> Set-up expenses (acc. 201 - 2801)</t>
    </r>
  </si>
  <si>
    <r>
      <t xml:space="preserve">       </t>
    </r>
    <r>
      <rPr>
        <b/>
        <sz val="8"/>
        <rFont val="Arial"/>
        <family val="2"/>
      </rPr>
      <t>2</t>
    </r>
    <r>
      <rPr>
        <sz val="8"/>
        <rFont val="Arial"/>
        <family val="2"/>
      </rPr>
      <t xml:space="preserve"> Development expenses (acc. 2023 - 2803 - 2903)</t>
    </r>
  </si>
  <si>
    <r>
      <t xml:space="preserve">       </t>
    </r>
    <r>
      <rPr>
        <b/>
        <sz val="8"/>
        <rFont val="Arial"/>
        <family val="2"/>
      </rPr>
      <t>3</t>
    </r>
    <r>
      <rPr>
        <sz val="8"/>
        <rFont val="Arial"/>
        <family val="2"/>
      </rPr>
      <t xml:space="preserve"> Concessions, patents, licenses, trademarks, similar rights and assets and other intangible assets (acc. 205 + 208 - 2805 - 2808 - 2905 - 2908)</t>
    </r>
  </si>
  <si>
    <r>
      <rPr>
        <b/>
        <sz val="8"/>
        <rFont val="Arial"/>
        <family val="2"/>
      </rPr>
      <t xml:space="preserve">     4</t>
    </r>
    <r>
      <rPr>
        <sz val="8"/>
        <rFont val="Arial"/>
        <family val="2"/>
      </rPr>
      <t xml:space="preserve">  Goodwill (acc. 2071 - 2807)</t>
    </r>
  </si>
  <si>
    <r>
      <t xml:space="preserve">       </t>
    </r>
    <r>
      <rPr>
        <b/>
        <sz val="8"/>
        <rFont val="Arial"/>
        <family val="2"/>
      </rPr>
      <t>5</t>
    </r>
    <r>
      <rPr>
        <sz val="8"/>
        <rFont val="Arial"/>
        <family val="2"/>
      </rPr>
      <t xml:space="preserve">  Intangible exploration assets and evaluation of mineral resources (206 - 2806 - 2906)</t>
    </r>
  </si>
  <si>
    <r>
      <rPr>
        <b/>
        <sz val="8"/>
        <rFont val="Arial"/>
        <family val="2"/>
      </rPr>
      <t xml:space="preserve">      6</t>
    </r>
    <r>
      <rPr>
        <sz val="8"/>
        <rFont val="Arial"/>
        <family val="2"/>
      </rPr>
      <t xml:space="preserve"> Advances (acc. 4094 - 4904)</t>
    </r>
  </si>
  <si>
    <t xml:space="preserve">       TOTAL (row 01 to 06) </t>
  </si>
  <si>
    <t>II. TANGIBLE ASSETS</t>
  </si>
  <si>
    <r>
      <t xml:space="preserve">       </t>
    </r>
    <r>
      <rPr>
        <b/>
        <sz val="8"/>
        <rFont val="Arial"/>
        <family val="2"/>
      </rPr>
      <t xml:space="preserve">1  </t>
    </r>
    <r>
      <rPr>
        <sz val="8"/>
        <rFont val="Arial"/>
        <family val="2"/>
      </rPr>
      <t xml:space="preserve">Land and buildings (acc. 211 + 212 - 2811 - 2812 - 2911 - 2912)  </t>
    </r>
  </si>
  <si>
    <r>
      <t xml:space="preserve">       </t>
    </r>
    <r>
      <rPr>
        <b/>
        <sz val="8"/>
        <rFont val="Arial"/>
        <family val="2"/>
      </rPr>
      <t>2</t>
    </r>
    <r>
      <rPr>
        <sz val="8"/>
        <rFont val="Arial"/>
        <family val="2"/>
      </rPr>
      <t xml:space="preserve">  Installations and machinery (acc. 213 + 223 - 2813 - 2913)  </t>
    </r>
  </si>
  <si>
    <r>
      <t xml:space="preserve">       </t>
    </r>
    <r>
      <rPr>
        <b/>
        <sz val="8"/>
        <rFont val="Arial"/>
        <family val="2"/>
      </rPr>
      <t>3</t>
    </r>
    <r>
      <rPr>
        <sz val="8"/>
        <rFont val="Arial"/>
        <family val="2"/>
      </rPr>
      <t xml:space="preserve">  Other installations, machines and furniture (acc. 214 + 224 - 2814 - 2914)</t>
    </r>
  </si>
  <si>
    <r>
      <t xml:space="preserve">       </t>
    </r>
    <r>
      <rPr>
        <b/>
        <sz val="8"/>
        <rFont val="Arial"/>
        <family val="2"/>
      </rPr>
      <t>4</t>
    </r>
    <r>
      <rPr>
        <sz val="8"/>
        <rFont val="Arial"/>
        <family val="2"/>
      </rPr>
      <t xml:space="preserve">  Investment property (acc. 215 - 2815 - 2915)</t>
    </r>
  </si>
  <si>
    <r>
      <t xml:space="preserve">       </t>
    </r>
    <r>
      <rPr>
        <b/>
        <sz val="8"/>
        <rFont val="Arial"/>
        <family val="2"/>
      </rPr>
      <t>5</t>
    </r>
    <r>
      <rPr>
        <sz val="8"/>
        <rFont val="Arial"/>
        <family val="2"/>
      </rPr>
      <t xml:space="preserve"> Tangible assets in progress (acc. 231 - 2931)</t>
    </r>
  </si>
  <si>
    <r>
      <t xml:space="preserve">       </t>
    </r>
    <r>
      <rPr>
        <b/>
        <sz val="8"/>
        <rFont val="Arial"/>
        <family val="2"/>
      </rPr>
      <t>6</t>
    </r>
    <r>
      <rPr>
        <sz val="8"/>
        <rFont val="Arial"/>
        <family val="2"/>
      </rPr>
      <t xml:space="preserve"> Investment property in progress (acc. 235 - 2935)</t>
    </r>
  </si>
  <si>
    <r>
      <t xml:space="preserve">       </t>
    </r>
    <r>
      <rPr>
        <b/>
        <sz val="8"/>
        <rFont val="Arial"/>
        <family val="2"/>
      </rPr>
      <t>7</t>
    </r>
    <r>
      <rPr>
        <sz val="8"/>
        <rFont val="Arial"/>
        <family val="2"/>
      </rPr>
      <t xml:space="preserve">  Tangible assets for exploration and valuation of mineral resources (acc. 216 - 2816 - 2916)</t>
    </r>
  </si>
  <si>
    <r>
      <t xml:space="preserve">       </t>
    </r>
    <r>
      <rPr>
        <b/>
        <sz val="8"/>
        <rFont val="Arial"/>
        <family val="2"/>
      </rPr>
      <t>8</t>
    </r>
    <r>
      <rPr>
        <sz val="8"/>
        <rFont val="Arial"/>
        <family val="2"/>
      </rPr>
      <t xml:space="preserve">  Productive biological assets (acc. 217 + 227 - 2817 - 2917)</t>
    </r>
  </si>
  <si>
    <r>
      <t xml:space="preserve">       </t>
    </r>
    <r>
      <rPr>
        <b/>
        <sz val="8"/>
        <rFont val="Arial"/>
        <family val="2"/>
      </rPr>
      <t>9</t>
    </r>
    <r>
      <rPr>
        <sz val="8"/>
        <rFont val="Arial"/>
        <family val="2"/>
      </rPr>
      <t xml:space="preserve"> Advances (acc. 4093 - 4903)</t>
    </r>
  </si>
  <si>
    <t xml:space="preserve">       TOTAL (row 08 to 16)      </t>
  </si>
  <si>
    <t>III. FINANCIAL ASSETS</t>
  </si>
  <si>
    <r>
      <t xml:space="preserve">       </t>
    </r>
    <r>
      <rPr>
        <b/>
        <sz val="8"/>
        <rFont val="Arial"/>
        <family val="2"/>
      </rPr>
      <t>1</t>
    </r>
    <r>
      <rPr>
        <sz val="8"/>
        <rFont val="Arial"/>
        <family val="2"/>
      </rPr>
      <t xml:space="preserve">  Investments in related parties (acc. 261 - 2961)</t>
    </r>
  </si>
  <si>
    <r>
      <t xml:space="preserve">       </t>
    </r>
    <r>
      <rPr>
        <b/>
        <sz val="8"/>
        <rFont val="Arial"/>
        <family val="2"/>
      </rPr>
      <t>2</t>
    </r>
    <r>
      <rPr>
        <sz val="8"/>
        <rFont val="Arial"/>
        <family val="2"/>
      </rPr>
      <t xml:space="preserve">  Loans granted to related parties (acc. 2671 + 2671 - 2964)</t>
    </r>
  </si>
  <si>
    <r>
      <t xml:space="preserve">       </t>
    </r>
    <r>
      <rPr>
        <b/>
        <sz val="8"/>
        <rFont val="Arial"/>
        <family val="2"/>
      </rPr>
      <t>3</t>
    </r>
    <r>
      <rPr>
        <sz val="8"/>
        <rFont val="Arial"/>
        <family val="2"/>
      </rPr>
      <t xml:space="preserve">  Equity investment (acc. 262 + 263 - 2962)</t>
    </r>
  </si>
  <si>
    <r>
      <t xml:space="preserve">       </t>
    </r>
    <r>
      <rPr>
        <b/>
        <sz val="8"/>
        <rFont val="Arial"/>
        <family val="2"/>
      </rPr>
      <t>4</t>
    </r>
    <r>
      <rPr>
        <sz val="8"/>
        <rFont val="Arial"/>
        <family val="2"/>
      </rPr>
      <t xml:space="preserve">  Loans granted to associated entities and jointly controlled entities (acc. 2673 + 2674 - 2965)</t>
    </r>
  </si>
  <si>
    <r>
      <t xml:space="preserve">       </t>
    </r>
    <r>
      <rPr>
        <b/>
        <sz val="8"/>
        <rFont val="Arial"/>
        <family val="2"/>
      </rPr>
      <t>5</t>
    </r>
    <r>
      <rPr>
        <sz val="8"/>
        <rFont val="Arial"/>
        <family val="2"/>
      </rPr>
      <t xml:space="preserve">  Other fixed assets (acc. 265  + 266 - 2963)</t>
    </r>
  </si>
  <si>
    <r>
      <t xml:space="preserve">       </t>
    </r>
    <r>
      <rPr>
        <b/>
        <sz val="8"/>
        <rFont val="Arial"/>
        <family val="2"/>
      </rPr>
      <t>6</t>
    </r>
    <r>
      <rPr>
        <sz val="8"/>
        <rFont val="Arial"/>
        <family val="2"/>
      </rPr>
      <t xml:space="preserve">  Other loans (acc. 2675* + 2676* + 2677 + 2678* + 2679* -  2966* - 2968*)</t>
    </r>
  </si>
  <si>
    <t xml:space="preserve">       TOTAL (row 18 to 23)  </t>
  </si>
  <si>
    <t xml:space="preserve">       TOTAL NON-CURRENT ASSETS (row 07+17+24) </t>
  </si>
  <si>
    <t>CURRENT ASSETS</t>
  </si>
  <si>
    <t>I. INVENTORIES</t>
  </si>
  <si>
    <r>
      <t xml:space="preserve">       </t>
    </r>
    <r>
      <rPr>
        <b/>
        <sz val="8"/>
        <rFont val="Arial"/>
        <family val="2"/>
      </rPr>
      <t>1</t>
    </r>
    <r>
      <rPr>
        <sz val="8"/>
        <rFont val="Arial"/>
        <family val="2"/>
      </rPr>
      <t xml:space="preserve">  Raw materials and consumables (acc. 301 + 302 + 303 +/- 308 +321 + 322 + 323 + 328 + 351 + 358 + 381 +/- 388 - 391 - 392 - 3951 - 3958 - 398)</t>
    </r>
  </si>
  <si>
    <r>
      <t xml:space="preserve">       </t>
    </r>
    <r>
      <rPr>
        <b/>
        <sz val="8"/>
        <rFont val="Arial"/>
        <family val="2"/>
      </rPr>
      <t>2</t>
    </r>
    <r>
      <rPr>
        <sz val="8"/>
        <rFont val="Arial"/>
        <family val="2"/>
      </rPr>
      <t xml:space="preserve">  Production in progress (acc. 331 + 332 +341 +/- 348* - 393 - 3941 - 3952)</t>
    </r>
  </si>
  <si>
    <r>
      <t xml:space="preserve">       </t>
    </r>
    <r>
      <rPr>
        <b/>
        <sz val="8"/>
        <rFont val="Arial"/>
        <family val="2"/>
      </rPr>
      <t>3</t>
    </r>
    <r>
      <rPr>
        <sz val="8"/>
        <rFont val="Arial"/>
        <family val="2"/>
      </rPr>
      <t xml:space="preserve">  Finished goods and commodities (acc. 327 + 345 + 346 + 347 +/- 348* + 354 + 356 + 357 + 361 + 326 +/- 368 + 371 +/- 378 - 3945 - 3946 - 3947 - 3953 - 3954 - 3955 - 3956 - 3957 - 396 - 397 - din ct 4428)</t>
    </r>
  </si>
  <si>
    <r>
      <t xml:space="preserve">       </t>
    </r>
    <r>
      <rPr>
        <b/>
        <sz val="8"/>
        <rFont val="Arial"/>
        <family val="2"/>
      </rPr>
      <t>4</t>
    </r>
    <r>
      <rPr>
        <sz val="8"/>
        <rFont val="Arial"/>
        <family val="2"/>
      </rPr>
      <t xml:space="preserve">  Advances (acc. 4091 - 4901)</t>
    </r>
  </si>
  <si>
    <t xml:space="preserve">       TOTAL (row 26 to 29)</t>
  </si>
  <si>
    <t>II. RECEIVABLES</t>
  </si>
  <si>
    <r>
      <t xml:space="preserve">       </t>
    </r>
    <r>
      <rPr>
        <b/>
        <sz val="8"/>
        <rFont val="Arial"/>
        <family val="2"/>
      </rPr>
      <t>1</t>
    </r>
    <r>
      <rPr>
        <sz val="8"/>
        <rFont val="Arial"/>
        <family val="2"/>
      </rPr>
      <t xml:space="preserve">  Trade receivables (acc. 2675* + 2676* + 2678* + 2679* - 2966* - 2968* + 4092 + 411 + 413 + 418 - 4902 - 491)</t>
    </r>
  </si>
  <si>
    <r>
      <t xml:space="preserve">       </t>
    </r>
    <r>
      <rPr>
        <b/>
        <sz val="8"/>
        <rFont val="Arial"/>
        <family val="2"/>
      </rPr>
      <t>2</t>
    </r>
    <r>
      <rPr>
        <sz val="8"/>
        <rFont val="Arial"/>
        <family val="2"/>
      </rPr>
      <t xml:space="preserve">  Receivables from affiliated entities (acc. 451** - 495*)</t>
    </r>
  </si>
  <si>
    <r>
      <t xml:space="preserve">       </t>
    </r>
    <r>
      <rPr>
        <b/>
        <sz val="8"/>
        <rFont val="Arial"/>
        <family val="2"/>
      </rPr>
      <t>3</t>
    </r>
    <r>
      <rPr>
        <sz val="8"/>
        <rFont val="Arial"/>
        <family val="2"/>
      </rPr>
      <t xml:space="preserve">  Receivables from associated entities and jointly controlled entities (acc. 453** - 495*)</t>
    </r>
  </si>
  <si>
    <r>
      <t xml:space="preserve">       </t>
    </r>
    <r>
      <rPr>
        <b/>
        <sz val="8"/>
        <rFont val="Arial"/>
        <family val="2"/>
      </rPr>
      <t>4</t>
    </r>
    <r>
      <rPr>
        <sz val="8"/>
        <rFont val="Arial"/>
        <family val="2"/>
      </rPr>
      <t xml:space="preserve">  Other receivables (ct 425 + 4282 + 431** + 436**+437** + 4382 + 441** + 4424 + din ct 4428** + 444** + 445 + 446 ** + 447** + 4482 + 4582 + 4662 + 461 + 473** - 496 + 5187)</t>
    </r>
  </si>
  <si>
    <r>
      <t xml:space="preserve">       </t>
    </r>
    <r>
      <rPr>
        <b/>
        <sz val="8"/>
        <rFont val="Arial"/>
        <family val="2"/>
      </rPr>
      <t>5</t>
    </r>
    <r>
      <rPr>
        <sz val="8"/>
        <rFont val="Arial"/>
        <family val="2"/>
      </rPr>
      <t xml:space="preserve">  Subscribed and not paid capital (acc. 456 - 495*)</t>
    </r>
  </si>
  <si>
    <r>
      <rPr>
        <b/>
        <sz val="8"/>
        <rFont val="Arial"/>
        <family val="2"/>
      </rPr>
      <t xml:space="preserve">       6</t>
    </r>
    <r>
      <rPr>
        <sz val="8"/>
        <rFont val="Arial"/>
        <family val="2"/>
      </rPr>
      <t xml:space="preserve"> Dividends receivables for interim distributions (acc. 463)</t>
    </r>
  </si>
  <si>
    <t xml:space="preserve">       TOTAL (row 31 to 36)</t>
  </si>
  <si>
    <t>III. SHORT TERM INVESTMENTS</t>
  </si>
  <si>
    <r>
      <t xml:space="preserve">       </t>
    </r>
    <r>
      <rPr>
        <b/>
        <sz val="8"/>
        <rFont val="Arial"/>
        <family val="2"/>
      </rPr>
      <t>1</t>
    </r>
    <r>
      <rPr>
        <sz val="8"/>
        <rFont val="Arial"/>
        <family val="2"/>
      </rPr>
      <t xml:space="preserve">  Shares owned in affiliated entities (acc. 501 - 591)</t>
    </r>
  </si>
  <si>
    <r>
      <t xml:space="preserve">       </t>
    </r>
    <r>
      <rPr>
        <b/>
        <sz val="8"/>
        <rFont val="Arial"/>
        <family val="2"/>
      </rPr>
      <t xml:space="preserve">2 </t>
    </r>
    <r>
      <rPr>
        <sz val="8"/>
        <rFont val="Arial"/>
        <family val="2"/>
      </rPr>
      <t xml:space="preserve"> Other short-term investments  (acc. 505 + 506 + 507 + din  ct 508 - 595 - 596 - 598 + 5113 + 5114)</t>
    </r>
  </si>
  <si>
    <t xml:space="preserve">       TOTAL (row 38 to 39)</t>
  </si>
  <si>
    <t>IV   PETTY CASH AND BANK ACCOUNTS (acc. 508 + ct 5112 + 512 + 531 + 532 + 541 + 542)</t>
  </si>
  <si>
    <t xml:space="preserve">       TOTAL CURRENT ASSETS (row 30+37+40+41) </t>
  </si>
  <si>
    <t xml:space="preserve">   PREPAYMENTS (acc 471 + 474) (row 44 + 45)</t>
  </si>
  <si>
    <t>Amounts to be resumed in a period of up to one year (acc. 471* + 474)</t>
  </si>
  <si>
    <t>Amounts to be resumed in a period of more than one year (acc. 471* + 474)</t>
  </si>
  <si>
    <t>Payables: Amounts to be paid in a period of up to one year</t>
  </si>
  <si>
    <r>
      <t xml:space="preserve">       </t>
    </r>
    <r>
      <rPr>
        <b/>
        <sz val="8"/>
        <rFont val="Arial"/>
        <family val="2"/>
      </rPr>
      <t>1</t>
    </r>
    <r>
      <rPr>
        <sz val="8"/>
        <rFont val="Arial"/>
        <family val="2"/>
      </rPr>
      <t xml:space="preserve">  Loans from the issue of bonds; the issue of convertible bonds shall be disclosed separately (acc. 161 +1681 - 169)</t>
    </r>
  </si>
  <si>
    <r>
      <t xml:space="preserve">       </t>
    </r>
    <r>
      <rPr>
        <b/>
        <sz val="8"/>
        <rFont val="Arial"/>
        <family val="2"/>
      </rPr>
      <t>2</t>
    </r>
    <r>
      <rPr>
        <sz val="8"/>
        <rFont val="Arial"/>
        <family val="2"/>
      </rPr>
      <t xml:space="preserve">  Amounts owed to credit institutions (acc. 1621 + 1622 + 1624 + 1625 + 1627 + 1682 + 5191 + 5192 + 5198)</t>
    </r>
  </si>
  <si>
    <r>
      <t xml:space="preserve">      </t>
    </r>
    <r>
      <rPr>
        <b/>
        <sz val="8"/>
        <rFont val="Arial"/>
        <family val="2"/>
      </rPr>
      <t xml:space="preserve"> 3</t>
    </r>
    <r>
      <rPr>
        <sz val="8"/>
        <rFont val="Arial"/>
        <family val="2"/>
      </rPr>
      <t xml:space="preserve"> Advances received for the orders (acc. 419)</t>
    </r>
  </si>
  <si>
    <r>
      <t xml:space="preserve">       </t>
    </r>
    <r>
      <rPr>
        <b/>
        <sz val="8"/>
        <rFont val="Arial"/>
        <family val="2"/>
      </rPr>
      <t>4</t>
    </r>
    <r>
      <rPr>
        <sz val="8"/>
        <rFont val="Arial"/>
        <family val="2"/>
      </rPr>
      <t xml:space="preserve">  Trade payables - suppliers (acc. 401 + 404 + 408)</t>
    </r>
  </si>
  <si>
    <r>
      <t xml:space="preserve">       </t>
    </r>
    <r>
      <rPr>
        <b/>
        <sz val="8"/>
        <rFont val="Arial"/>
        <family val="2"/>
      </rPr>
      <t>5</t>
    </r>
    <r>
      <rPr>
        <sz val="8"/>
        <rFont val="Arial"/>
        <family val="2"/>
      </rPr>
      <t xml:space="preserve">  Bills of exchange payable (acc. 403 + 405)</t>
    </r>
  </si>
  <si>
    <r>
      <t xml:space="preserve">       </t>
    </r>
    <r>
      <rPr>
        <b/>
        <sz val="8"/>
        <rFont val="Arial"/>
        <family val="2"/>
      </rPr>
      <t>6</t>
    </r>
    <r>
      <rPr>
        <sz val="8"/>
        <rFont val="Arial"/>
        <family val="2"/>
      </rPr>
      <t xml:space="preserve">  Amounts owed to affiliated entities (acc. 1661 + 1685 + 2691 + 451***)</t>
    </r>
  </si>
  <si>
    <r>
      <t xml:space="preserve">       </t>
    </r>
    <r>
      <rPr>
        <b/>
        <sz val="8"/>
        <rFont val="Arial"/>
        <family val="2"/>
      </rPr>
      <t>7</t>
    </r>
    <r>
      <rPr>
        <sz val="8"/>
        <rFont val="Arial"/>
        <family val="2"/>
      </rPr>
      <t xml:space="preserve">  Amounts owed to associated entities and jointly controlled entities (acc. 1663 + 1686 + 2692 + 2693 + 453***)</t>
    </r>
  </si>
  <si>
    <r>
      <t xml:space="preserve">       </t>
    </r>
    <r>
      <rPr>
        <b/>
        <sz val="8"/>
        <rFont val="Arial"/>
        <family val="2"/>
      </rPr>
      <t>8</t>
    </r>
    <r>
      <rPr>
        <sz val="8"/>
        <rFont val="Arial"/>
        <family val="2"/>
      </rPr>
      <t xml:space="preserve">  Other debts, including fiscal debts and debts related to social securities (acc. 1623 + 1626 + 167 + 1687 + 2695 + 421 + 423 + 424 + 426 + 427 + 4281 + 431***  + 436*** + 437*** + 4381 + 441*** + 4423 + 4428*** + 444*** + 446*** + 447*** + 4481 + 455 + 456*** + 457 + 4581 + 462 + 4661 + 467 + 473*** + 509 + 5186 + 5193 + 5194 + 5195 + 5196 + 5197)</t>
    </r>
  </si>
  <si>
    <t xml:space="preserve">       TOTAL (row 46 to 53) </t>
  </si>
  <si>
    <t>E     NET CURRENT ASSETS/NET CURRENT LIABILITIES
           (row 42 + 44 - 54 - 71 - 74 - 77)</t>
  </si>
  <si>
    <t>F     TOTAL ASSETS MINUS CURRENT LIABILITIES
         (row 25 + 45 + 55)</t>
  </si>
  <si>
    <t>Payables: Amounts to be paid in a period of more than one year</t>
  </si>
  <si>
    <r>
      <t xml:space="preserve">       </t>
    </r>
    <r>
      <rPr>
        <b/>
        <sz val="8"/>
        <rFont val="Arial"/>
        <family val="2"/>
      </rPr>
      <t>1</t>
    </r>
    <r>
      <rPr>
        <sz val="8"/>
        <rFont val="Arial"/>
        <family val="2"/>
      </rPr>
      <t xml:space="preserve">  Loans from the issue of bonds; the issue of convertible bonds shall be disclosed separately (acc. 161 + 1681 - 169)</t>
    </r>
  </si>
  <si>
    <r>
      <t xml:space="preserve">       </t>
    </r>
    <r>
      <rPr>
        <b/>
        <sz val="8"/>
        <rFont val="Arial"/>
        <family val="2"/>
      </rPr>
      <t>8</t>
    </r>
    <r>
      <rPr>
        <sz val="8"/>
        <rFont val="Arial"/>
        <family val="2"/>
      </rPr>
      <t xml:space="preserve">  Other debts, including fiscal debts and debts related to social securities (acc. 1623 + 1626 + 167 + 1687 + 2695 + 421 + 423 + 424 + 426 + 427 + 4281 + 431*** + 436***+437*** + 4381 + 441*** + 4423 + 4428*** + 444*** + 446*** + 447*** + 4481 + 455 + 456*** + 4581 + 462 + 4661 + 473*** + 509 + 5186 + 5193 + 5194 + 5195 + 5196 + 5197)</t>
    </r>
  </si>
  <si>
    <t xml:space="preserve">       TOTAL (row 57 to 64)</t>
  </si>
  <si>
    <t>PROVISIONS</t>
  </si>
  <si>
    <r>
      <t xml:space="preserve">       </t>
    </r>
    <r>
      <rPr>
        <b/>
        <sz val="8"/>
        <rFont val="Arial"/>
        <family val="2"/>
      </rPr>
      <t>1</t>
    </r>
    <r>
      <rPr>
        <sz val="8"/>
        <rFont val="Arial"/>
        <family val="2"/>
      </rPr>
      <t xml:space="preserve">  Provisions for employee benefits (acc. 1515 + 1517)</t>
    </r>
  </si>
  <si>
    <r>
      <t xml:space="preserve">       </t>
    </r>
    <r>
      <rPr>
        <b/>
        <sz val="8"/>
        <rFont val="Arial"/>
        <family val="2"/>
      </rPr>
      <t>2</t>
    </r>
    <r>
      <rPr>
        <sz val="8"/>
        <rFont val="Arial"/>
        <family val="2"/>
      </rPr>
      <t xml:space="preserve">  Provisions for taxes (acc. 1516)</t>
    </r>
  </si>
  <si>
    <r>
      <t xml:space="preserve">       </t>
    </r>
    <r>
      <rPr>
        <b/>
        <sz val="8"/>
        <rFont val="Arial"/>
        <family val="2"/>
      </rPr>
      <t>3</t>
    </r>
    <r>
      <rPr>
        <sz val="8"/>
        <rFont val="Arial"/>
        <family val="2"/>
      </rPr>
      <t xml:space="preserve">  Other provisions (acc. 1511 + 1512 + 1513 + 1514 + 1518)</t>
    </r>
  </si>
  <si>
    <t xml:space="preserve">       TOTAL PROVISIONS  (row 66, 67 and 68 )</t>
  </si>
  <si>
    <t>INCOME IN ADVANCE</t>
  </si>
  <si>
    <r>
      <t xml:space="preserve">       </t>
    </r>
    <r>
      <rPr>
        <b/>
        <sz val="8"/>
        <rFont val="Arial"/>
        <family val="2"/>
      </rPr>
      <t>1</t>
    </r>
    <r>
      <rPr>
        <sz val="8"/>
        <rFont val="Arial"/>
        <family val="2"/>
      </rPr>
      <t xml:space="preserve">   Investment subsidies (acc. 475) (row 71 + 72), out of which:</t>
    </r>
  </si>
  <si>
    <t xml:space="preserve">             Amounts to be resumed in a period of up to one year (from acc. 475*)</t>
  </si>
  <si>
    <t xml:space="preserve">             Amounts to be resumed in a period of more than one year (from acc. 475*)</t>
  </si>
  <si>
    <r>
      <t xml:space="preserve">       </t>
    </r>
    <r>
      <rPr>
        <b/>
        <sz val="8"/>
        <rFont val="Arial"/>
        <family val="2"/>
      </rPr>
      <t>2</t>
    </r>
    <r>
      <rPr>
        <sz val="8"/>
        <rFont val="Arial"/>
        <family val="2"/>
      </rPr>
      <t xml:space="preserve">   Deferred income  (acc. 472) - total (row 74 + 75), out of which:</t>
    </r>
  </si>
  <si>
    <t xml:space="preserve">             Amounts to be resumed in a period of up to one year (from acc. 472*)</t>
  </si>
  <si>
    <t xml:space="preserve">             Amounts to be resumed in a period of more than one year (from acc. 472*)</t>
  </si>
  <si>
    <r>
      <t xml:space="preserve">       </t>
    </r>
    <r>
      <rPr>
        <b/>
        <sz val="8"/>
        <rFont val="Arial"/>
        <family val="2"/>
      </rPr>
      <t>3</t>
    </r>
    <r>
      <rPr>
        <sz val="8"/>
        <rFont val="Arial"/>
        <family val="2"/>
      </rPr>
      <t xml:space="preserve">   Deferred revenues from assets received from transfer from clients (acc. 478) (row 77 + 78)</t>
    </r>
  </si>
  <si>
    <t xml:space="preserve">             Amounts to be resumed in a period of up to one year (from acc. 478*)</t>
  </si>
  <si>
    <t xml:space="preserve">             Amounts to be resumed in a period of more than one year (from acc. 478*)</t>
  </si>
  <si>
    <t xml:space="preserve">       Negative goodwill (acc 2075)</t>
  </si>
  <si>
    <t xml:space="preserve">       TOTAL (row 70 + 73 + 76 + 79)</t>
  </si>
  <si>
    <t>CAPITAL AND RESERVES</t>
  </si>
  <si>
    <r>
      <t xml:space="preserve">       </t>
    </r>
    <r>
      <rPr>
        <b/>
        <sz val="8"/>
        <rFont val="Arial"/>
        <family val="2"/>
      </rPr>
      <t xml:space="preserve">1 </t>
    </r>
    <r>
      <rPr>
        <sz val="8"/>
        <rFont val="Arial"/>
        <family val="2"/>
      </rPr>
      <t xml:space="preserve">   Subscribed and paid up share capital (acc. 1012)</t>
    </r>
  </si>
  <si>
    <r>
      <t xml:space="preserve">       2</t>
    </r>
    <r>
      <rPr>
        <b/>
        <sz val="8"/>
        <rFont val="Arial"/>
        <family val="2"/>
      </rPr>
      <t xml:space="preserve"> </t>
    </r>
    <r>
      <rPr>
        <sz val="8"/>
        <rFont val="Arial"/>
        <family val="2"/>
      </rPr>
      <t xml:space="preserve">   Subscribed and not paid share capital (acc. 1011)</t>
    </r>
  </si>
  <si>
    <r>
      <t xml:space="preserve">       </t>
    </r>
    <r>
      <rPr>
        <b/>
        <sz val="8"/>
        <rFont val="Arial"/>
        <family val="2"/>
      </rPr>
      <t>3</t>
    </r>
    <r>
      <rPr>
        <sz val="8"/>
        <rFont val="Arial"/>
        <family val="2"/>
      </rPr>
      <t xml:space="preserve">   Patrimony (autonomus companies) (acc. 1015)</t>
    </r>
  </si>
  <si>
    <r>
      <t xml:space="preserve">       </t>
    </r>
    <r>
      <rPr>
        <b/>
        <sz val="8"/>
        <rFont val="Arial"/>
        <family val="2"/>
      </rPr>
      <t xml:space="preserve">4 </t>
    </r>
    <r>
      <rPr>
        <sz val="8"/>
        <rFont val="Arial"/>
        <family val="2"/>
      </rPr>
      <t xml:space="preserve">  Patrimony of national institutions for research and development (acc. 1018)</t>
    </r>
  </si>
  <si>
    <r>
      <t xml:space="preserve">       </t>
    </r>
    <r>
      <rPr>
        <b/>
        <sz val="8"/>
        <rFont val="Arial"/>
        <family val="2"/>
      </rPr>
      <t>5</t>
    </r>
    <r>
      <rPr>
        <sz val="8"/>
        <rFont val="Arial"/>
        <family val="2"/>
      </rPr>
      <t xml:space="preserve">   Other equity elements (acc. 1031)</t>
    </r>
  </si>
  <si>
    <t xml:space="preserve">       TOTAL (row 81 + 82 + 83 + 84 + 85)</t>
  </si>
  <si>
    <t>II     SHARE PREMIUM ACCOUNT (acc. 104)</t>
  </si>
  <si>
    <t>III   REVALUATION RESERVE (acc. 105)</t>
  </si>
  <si>
    <t>IV RESERVES</t>
  </si>
  <si>
    <r>
      <t xml:space="preserve">       </t>
    </r>
    <r>
      <rPr>
        <b/>
        <sz val="8"/>
        <rFont val="Arial"/>
        <family val="2"/>
      </rPr>
      <t>1</t>
    </r>
    <r>
      <rPr>
        <sz val="8"/>
        <rFont val="Arial"/>
        <family val="2"/>
      </rPr>
      <t xml:space="preserve">  Legal reserves  (ct 1061)</t>
    </r>
  </si>
  <si>
    <r>
      <t xml:space="preserve">       </t>
    </r>
    <r>
      <rPr>
        <b/>
        <sz val="8"/>
        <rFont val="Arial"/>
        <family val="2"/>
      </rPr>
      <t>2</t>
    </r>
    <r>
      <rPr>
        <sz val="8"/>
        <rFont val="Arial"/>
        <family val="2"/>
      </rPr>
      <t xml:space="preserve">  Statutory or contractual capital reserve (acc. 1063)</t>
    </r>
  </si>
  <si>
    <r>
      <t xml:space="preserve">       </t>
    </r>
    <r>
      <rPr>
        <b/>
        <sz val="8"/>
        <rFont val="Arial"/>
        <family val="2"/>
      </rPr>
      <t>3</t>
    </r>
    <r>
      <rPr>
        <sz val="8"/>
        <rFont val="Arial"/>
        <family val="2"/>
      </rPr>
      <t xml:space="preserve">  Other reserves (acc. 1068)</t>
    </r>
  </si>
  <si>
    <t xml:space="preserve">       TOTAL (row 89 to 91)</t>
  </si>
  <si>
    <t>Own shares (acc. 109)</t>
  </si>
  <si>
    <t>Gains related to own equity instruments (acc. 141)</t>
  </si>
  <si>
    <t>Losses related to own equity instruments (acc. 149)</t>
  </si>
  <si>
    <t>V. Profit or loss carried forward (acc. 117)</t>
  </si>
  <si>
    <t xml:space="preserve">             - Cr Balance</t>
  </si>
  <si>
    <t xml:space="preserve">             - Dr Balance</t>
  </si>
  <si>
    <t>VI. Profit or loss for the period (acc 121)</t>
  </si>
  <si>
    <t xml:space="preserve">        Distribution of profit (acc. 129)</t>
  </si>
  <si>
    <t xml:space="preserve">        TOTAL EQUITY
          (row 86+87+ 88 + 92-93+94-95+96-97+98-99-100)</t>
  </si>
  <si>
    <t xml:space="preserve">        Public patrimony (acc. 1016)</t>
  </si>
  <si>
    <t xml:space="preserve">        Private patrimony (acc. 1017)</t>
  </si>
  <si>
    <t xml:space="preserve">        TOTAL CAPITAL (row 101+102 + 103) </t>
  </si>
  <si>
    <t>as at 
December 31, 2024</t>
  </si>
  <si>
    <t>EUR vs. RON</t>
  </si>
  <si>
    <r>
      <rPr>
        <b/>
        <sz val="8"/>
        <rFont val="Arial"/>
        <family val="2"/>
      </rPr>
      <t xml:space="preserve">Source: </t>
    </r>
    <r>
      <rPr>
        <sz val="6"/>
        <rFont val="Arial"/>
        <family val="2"/>
      </rPr>
      <t>https://www.ecb.europa.eu/stats/policy_and_exchange_rates/euro_reference_exchange_rates/html/eurofxref-graph-ron.de.html</t>
    </r>
  </si>
  <si>
    <t>Growth in %</t>
  </si>
  <si>
    <t>Total Assets</t>
  </si>
  <si>
    <t>Total Equity and Liabilities</t>
  </si>
  <si>
    <t>Check</t>
  </si>
  <si>
    <t>In €</t>
  </si>
  <si>
    <t>EBIT</t>
  </si>
  <si>
    <t>EBITDA</t>
  </si>
  <si>
    <t>Adj.</t>
  </si>
  <si>
    <r>
      <t xml:space="preserve">       </t>
    </r>
    <r>
      <rPr>
        <b/>
        <sz val="8"/>
        <rFont val="Arial"/>
        <family val="2"/>
      </rPr>
      <t>1</t>
    </r>
    <r>
      <rPr>
        <sz val="8"/>
        <rFont val="Arial"/>
        <family val="2"/>
      </rPr>
      <t xml:space="preserve"> Set-up expenses</t>
    </r>
  </si>
  <si>
    <r>
      <t xml:space="preserve">       </t>
    </r>
    <r>
      <rPr>
        <b/>
        <sz val="8"/>
        <rFont val="Arial"/>
        <family val="2"/>
      </rPr>
      <t>2</t>
    </r>
    <r>
      <rPr>
        <sz val="8"/>
        <rFont val="Arial"/>
        <family val="2"/>
      </rPr>
      <t xml:space="preserve"> Development expenses</t>
    </r>
  </si>
  <si>
    <r>
      <t xml:space="preserve">       </t>
    </r>
    <r>
      <rPr>
        <b/>
        <sz val="8"/>
        <rFont val="Arial"/>
        <family val="2"/>
      </rPr>
      <t>3</t>
    </r>
    <r>
      <rPr>
        <sz val="8"/>
        <rFont val="Arial"/>
        <family val="2"/>
      </rPr>
      <t xml:space="preserve"> Concessions, patents, licenses, trademarks, similar rights and assets and other intangible assets</t>
    </r>
  </si>
  <si>
    <r>
      <rPr>
        <b/>
        <sz val="8"/>
        <rFont val="Arial"/>
        <family val="2"/>
      </rPr>
      <t xml:space="preserve">     4</t>
    </r>
    <r>
      <rPr>
        <sz val="8"/>
        <rFont val="Arial"/>
        <family val="2"/>
      </rPr>
      <t xml:space="preserve">  Goodwill</t>
    </r>
  </si>
  <si>
    <r>
      <t xml:space="preserve">       </t>
    </r>
    <r>
      <rPr>
        <b/>
        <sz val="8"/>
        <rFont val="Arial"/>
        <family val="2"/>
      </rPr>
      <t>5</t>
    </r>
    <r>
      <rPr>
        <sz val="8"/>
        <rFont val="Arial"/>
        <family val="2"/>
      </rPr>
      <t xml:space="preserve">  Intangible exploration assets and evaluation of mineral resources</t>
    </r>
  </si>
  <si>
    <r>
      <rPr>
        <b/>
        <sz val="8"/>
        <rFont val="Arial"/>
        <family val="2"/>
      </rPr>
      <t xml:space="preserve">      6</t>
    </r>
    <r>
      <rPr>
        <sz val="8"/>
        <rFont val="Arial"/>
        <family val="2"/>
      </rPr>
      <t xml:space="preserve"> Advances</t>
    </r>
  </si>
  <si>
    <t xml:space="preserve">       TOTAL</t>
  </si>
  <si>
    <r>
      <t xml:space="preserve">       </t>
    </r>
    <r>
      <rPr>
        <b/>
        <sz val="8"/>
        <rFont val="Arial"/>
        <family val="2"/>
      </rPr>
      <t xml:space="preserve">1  </t>
    </r>
    <r>
      <rPr>
        <sz val="8"/>
        <rFont val="Arial"/>
        <family val="2"/>
      </rPr>
      <t>Land and buildings</t>
    </r>
  </si>
  <si>
    <r>
      <t xml:space="preserve">       </t>
    </r>
    <r>
      <rPr>
        <b/>
        <sz val="8"/>
        <rFont val="Arial"/>
        <family val="2"/>
      </rPr>
      <t>2</t>
    </r>
    <r>
      <rPr>
        <sz val="8"/>
        <rFont val="Arial"/>
        <family val="2"/>
      </rPr>
      <t xml:space="preserve">  Installations and machinery</t>
    </r>
  </si>
  <si>
    <r>
      <t xml:space="preserve">       </t>
    </r>
    <r>
      <rPr>
        <b/>
        <sz val="8"/>
        <rFont val="Arial"/>
        <family val="2"/>
      </rPr>
      <t>3</t>
    </r>
    <r>
      <rPr>
        <sz val="8"/>
        <rFont val="Arial"/>
        <family val="2"/>
      </rPr>
      <t xml:space="preserve">  Other installations, machines and furniture</t>
    </r>
  </si>
  <si>
    <r>
      <t xml:space="preserve">       </t>
    </r>
    <r>
      <rPr>
        <b/>
        <sz val="8"/>
        <rFont val="Arial"/>
        <family val="2"/>
      </rPr>
      <t>4</t>
    </r>
    <r>
      <rPr>
        <sz val="8"/>
        <rFont val="Arial"/>
        <family val="2"/>
      </rPr>
      <t xml:space="preserve">  Investment property</t>
    </r>
  </si>
  <si>
    <r>
      <t xml:space="preserve">       </t>
    </r>
    <r>
      <rPr>
        <b/>
        <sz val="8"/>
        <rFont val="Arial"/>
        <family val="2"/>
      </rPr>
      <t>5</t>
    </r>
    <r>
      <rPr>
        <sz val="8"/>
        <rFont val="Arial"/>
        <family val="2"/>
      </rPr>
      <t xml:space="preserve"> Tangible assets in progress</t>
    </r>
  </si>
  <si>
    <r>
      <t xml:space="preserve">       </t>
    </r>
    <r>
      <rPr>
        <b/>
        <sz val="8"/>
        <rFont val="Arial"/>
        <family val="2"/>
      </rPr>
      <t>6</t>
    </r>
    <r>
      <rPr>
        <sz val="8"/>
        <rFont val="Arial"/>
        <family val="2"/>
      </rPr>
      <t xml:space="preserve"> Investment property in progress</t>
    </r>
  </si>
  <si>
    <r>
      <t xml:space="preserve">       </t>
    </r>
    <r>
      <rPr>
        <b/>
        <sz val="8"/>
        <rFont val="Arial"/>
        <family val="2"/>
      </rPr>
      <t>7</t>
    </r>
    <r>
      <rPr>
        <sz val="8"/>
        <rFont val="Arial"/>
        <family val="2"/>
      </rPr>
      <t xml:space="preserve">  Tangible assets for exploration and valuation of mineral resources</t>
    </r>
  </si>
  <si>
    <r>
      <t xml:space="preserve">       </t>
    </r>
    <r>
      <rPr>
        <b/>
        <sz val="8"/>
        <rFont val="Arial"/>
        <family val="2"/>
      </rPr>
      <t>8</t>
    </r>
    <r>
      <rPr>
        <sz val="8"/>
        <rFont val="Arial"/>
        <family val="2"/>
      </rPr>
      <t xml:space="preserve">  Productive biological assets</t>
    </r>
  </si>
  <si>
    <r>
      <t xml:space="preserve">       </t>
    </r>
    <r>
      <rPr>
        <b/>
        <sz val="8"/>
        <rFont val="Arial"/>
        <family val="2"/>
      </rPr>
      <t>9</t>
    </r>
    <r>
      <rPr>
        <sz val="8"/>
        <rFont val="Arial"/>
        <family val="2"/>
      </rPr>
      <t xml:space="preserve"> Advances</t>
    </r>
  </si>
  <si>
    <r>
      <t xml:space="preserve">       </t>
    </r>
    <r>
      <rPr>
        <b/>
        <sz val="8"/>
        <rFont val="Arial"/>
        <family val="2"/>
      </rPr>
      <t>1</t>
    </r>
    <r>
      <rPr>
        <sz val="8"/>
        <rFont val="Arial"/>
        <family val="2"/>
      </rPr>
      <t xml:space="preserve">  Investments in related parties</t>
    </r>
  </si>
  <si>
    <r>
      <t xml:space="preserve">       </t>
    </r>
    <r>
      <rPr>
        <b/>
        <sz val="8"/>
        <rFont val="Arial"/>
        <family val="2"/>
      </rPr>
      <t>2</t>
    </r>
    <r>
      <rPr>
        <sz val="8"/>
        <rFont val="Arial"/>
        <family val="2"/>
      </rPr>
      <t xml:space="preserve">  Loans granted to related parties</t>
    </r>
  </si>
  <si>
    <r>
      <t xml:space="preserve">       </t>
    </r>
    <r>
      <rPr>
        <b/>
        <sz val="8"/>
        <rFont val="Arial"/>
        <family val="2"/>
      </rPr>
      <t>3</t>
    </r>
    <r>
      <rPr>
        <sz val="8"/>
        <rFont val="Arial"/>
        <family val="2"/>
      </rPr>
      <t xml:space="preserve">  Equity investment</t>
    </r>
  </si>
  <si>
    <r>
      <t xml:space="preserve">       </t>
    </r>
    <r>
      <rPr>
        <b/>
        <sz val="8"/>
        <rFont val="Arial"/>
        <family val="2"/>
      </rPr>
      <t>4</t>
    </r>
    <r>
      <rPr>
        <sz val="8"/>
        <rFont val="Arial"/>
        <family val="2"/>
      </rPr>
      <t xml:space="preserve">  Loans granted to associated entities and jointly controlled entities</t>
    </r>
  </si>
  <si>
    <r>
      <t xml:space="preserve">       </t>
    </r>
    <r>
      <rPr>
        <b/>
        <sz val="8"/>
        <rFont val="Arial"/>
        <family val="2"/>
      </rPr>
      <t>5</t>
    </r>
    <r>
      <rPr>
        <sz val="8"/>
        <rFont val="Arial"/>
        <family val="2"/>
      </rPr>
      <t xml:space="preserve">  Other fixed assets</t>
    </r>
  </si>
  <si>
    <r>
      <t xml:space="preserve">       </t>
    </r>
    <r>
      <rPr>
        <b/>
        <sz val="8"/>
        <rFont val="Arial"/>
        <family val="2"/>
      </rPr>
      <t>6</t>
    </r>
    <r>
      <rPr>
        <sz val="8"/>
        <rFont val="Arial"/>
        <family val="2"/>
      </rPr>
      <t xml:space="preserve">  Other loans</t>
    </r>
  </si>
  <si>
    <t xml:space="preserve">       TOTAL NON-CURRENT ASSETS</t>
  </si>
  <si>
    <r>
      <t xml:space="preserve">       </t>
    </r>
    <r>
      <rPr>
        <b/>
        <sz val="8"/>
        <rFont val="Arial"/>
        <family val="2"/>
      </rPr>
      <t>1</t>
    </r>
    <r>
      <rPr>
        <sz val="8"/>
        <rFont val="Arial"/>
        <family val="2"/>
      </rPr>
      <t xml:space="preserve">  Raw materials and consumables</t>
    </r>
  </si>
  <si>
    <r>
      <t xml:space="preserve">       </t>
    </r>
    <r>
      <rPr>
        <b/>
        <sz val="8"/>
        <rFont val="Arial"/>
        <family val="2"/>
      </rPr>
      <t>2</t>
    </r>
    <r>
      <rPr>
        <sz val="8"/>
        <rFont val="Arial"/>
        <family val="2"/>
      </rPr>
      <t xml:space="preserve">  Production in progress</t>
    </r>
  </si>
  <si>
    <r>
      <t xml:space="preserve">       </t>
    </r>
    <r>
      <rPr>
        <b/>
        <sz val="8"/>
        <rFont val="Arial"/>
        <family val="2"/>
      </rPr>
      <t>3</t>
    </r>
    <r>
      <rPr>
        <sz val="8"/>
        <rFont val="Arial"/>
        <family val="2"/>
      </rPr>
      <t xml:space="preserve">  Finished goods and commodities</t>
    </r>
  </si>
  <si>
    <r>
      <t xml:space="preserve">       </t>
    </r>
    <r>
      <rPr>
        <b/>
        <sz val="8"/>
        <rFont val="Arial"/>
        <family val="2"/>
      </rPr>
      <t>4</t>
    </r>
    <r>
      <rPr>
        <sz val="8"/>
        <rFont val="Arial"/>
        <family val="2"/>
      </rPr>
      <t xml:space="preserve">  Advances</t>
    </r>
  </si>
  <si>
    <r>
      <t xml:space="preserve">       </t>
    </r>
    <r>
      <rPr>
        <b/>
        <sz val="8"/>
        <rFont val="Arial"/>
        <family val="2"/>
      </rPr>
      <t>1</t>
    </r>
    <r>
      <rPr>
        <sz val="8"/>
        <rFont val="Arial"/>
        <family val="2"/>
      </rPr>
      <t xml:space="preserve">  Trade receivables</t>
    </r>
  </si>
  <si>
    <r>
      <t xml:space="preserve">       </t>
    </r>
    <r>
      <rPr>
        <b/>
        <sz val="8"/>
        <rFont val="Arial"/>
        <family val="2"/>
      </rPr>
      <t>2</t>
    </r>
    <r>
      <rPr>
        <sz val="8"/>
        <rFont val="Arial"/>
        <family val="2"/>
      </rPr>
      <t xml:space="preserve">  Receivables from affiliated entities</t>
    </r>
  </si>
  <si>
    <r>
      <t xml:space="preserve">       </t>
    </r>
    <r>
      <rPr>
        <b/>
        <sz val="8"/>
        <rFont val="Arial"/>
        <family val="2"/>
      </rPr>
      <t>3</t>
    </r>
    <r>
      <rPr>
        <sz val="8"/>
        <rFont val="Arial"/>
        <family val="2"/>
      </rPr>
      <t xml:space="preserve">  Receivables from associated entities and jointly controlled entities</t>
    </r>
  </si>
  <si>
    <r>
      <t xml:space="preserve">       </t>
    </r>
    <r>
      <rPr>
        <b/>
        <sz val="8"/>
        <rFont val="Arial"/>
        <family val="2"/>
      </rPr>
      <t>4</t>
    </r>
    <r>
      <rPr>
        <sz val="8"/>
        <rFont val="Arial"/>
        <family val="2"/>
      </rPr>
      <t xml:space="preserve">  Other receivables</t>
    </r>
  </si>
  <si>
    <r>
      <t xml:space="preserve">       </t>
    </r>
    <r>
      <rPr>
        <b/>
        <sz val="8"/>
        <rFont val="Arial"/>
        <family val="2"/>
      </rPr>
      <t>5</t>
    </r>
    <r>
      <rPr>
        <sz val="8"/>
        <rFont val="Arial"/>
        <family val="2"/>
      </rPr>
      <t xml:space="preserve">  Subscribed and not paid capital</t>
    </r>
  </si>
  <si>
    <r>
      <rPr>
        <b/>
        <sz val="8"/>
        <rFont val="Arial"/>
        <family val="2"/>
      </rPr>
      <t xml:space="preserve">       6</t>
    </r>
    <r>
      <rPr>
        <sz val="8"/>
        <rFont val="Arial"/>
        <family val="2"/>
      </rPr>
      <t xml:space="preserve"> Dividends receivables for interim distributions</t>
    </r>
  </si>
  <si>
    <r>
      <t xml:space="preserve">       </t>
    </r>
    <r>
      <rPr>
        <b/>
        <sz val="8"/>
        <rFont val="Arial"/>
        <family val="2"/>
      </rPr>
      <t>1</t>
    </r>
    <r>
      <rPr>
        <sz val="8"/>
        <rFont val="Arial"/>
        <family val="2"/>
      </rPr>
      <t xml:space="preserve">  Shares owned in affiliated entities</t>
    </r>
  </si>
  <si>
    <r>
      <t xml:space="preserve">       </t>
    </r>
    <r>
      <rPr>
        <b/>
        <sz val="8"/>
        <rFont val="Arial"/>
        <family val="2"/>
      </rPr>
      <t xml:space="preserve">2 </t>
    </r>
    <r>
      <rPr>
        <sz val="8"/>
        <rFont val="Arial"/>
        <family val="2"/>
      </rPr>
      <t xml:space="preserve"> Other short-term investments</t>
    </r>
  </si>
  <si>
    <t>IV   PETTY CASH AND BANK ACCOUNTS</t>
  </si>
  <si>
    <t xml:space="preserve">       TOTAL CURRENT ASSETS</t>
  </si>
  <si>
    <t xml:space="preserve">   PREPAYMENTS</t>
  </si>
  <si>
    <t>Amounts to be resumed in a period of up to one year</t>
  </si>
  <si>
    <t>Amounts to be resumed in a period of more than one year</t>
  </si>
  <si>
    <r>
      <t xml:space="preserve">       </t>
    </r>
    <r>
      <rPr>
        <b/>
        <sz val="8"/>
        <rFont val="Arial"/>
        <family val="2"/>
      </rPr>
      <t>1</t>
    </r>
    <r>
      <rPr>
        <sz val="8"/>
        <rFont val="Arial"/>
        <family val="2"/>
      </rPr>
      <t xml:space="preserve">  Loans from the issue of bonds; the issue of convertible bonds shall be disclosed separately</t>
    </r>
  </si>
  <si>
    <r>
      <t xml:space="preserve">       </t>
    </r>
    <r>
      <rPr>
        <b/>
        <sz val="8"/>
        <rFont val="Arial"/>
        <family val="2"/>
      </rPr>
      <t>2</t>
    </r>
    <r>
      <rPr>
        <sz val="8"/>
        <rFont val="Arial"/>
        <family val="2"/>
      </rPr>
      <t xml:space="preserve">  Amounts owed to credit institutions</t>
    </r>
  </si>
  <si>
    <r>
      <t xml:space="preserve">      </t>
    </r>
    <r>
      <rPr>
        <b/>
        <sz val="8"/>
        <rFont val="Arial"/>
        <family val="2"/>
      </rPr>
      <t xml:space="preserve"> 3</t>
    </r>
    <r>
      <rPr>
        <sz val="8"/>
        <rFont val="Arial"/>
        <family val="2"/>
      </rPr>
      <t xml:space="preserve"> Advances received for the orders</t>
    </r>
  </si>
  <si>
    <r>
      <t xml:space="preserve">       </t>
    </r>
    <r>
      <rPr>
        <b/>
        <sz val="8"/>
        <rFont val="Arial"/>
        <family val="2"/>
      </rPr>
      <t>4</t>
    </r>
    <r>
      <rPr>
        <sz val="8"/>
        <rFont val="Arial"/>
        <family val="2"/>
      </rPr>
      <t xml:space="preserve">  Trade payables - suppliers</t>
    </r>
  </si>
  <si>
    <r>
      <t xml:space="preserve">       </t>
    </r>
    <r>
      <rPr>
        <b/>
        <sz val="8"/>
        <rFont val="Arial"/>
        <family val="2"/>
      </rPr>
      <t>5</t>
    </r>
    <r>
      <rPr>
        <sz val="8"/>
        <rFont val="Arial"/>
        <family val="2"/>
      </rPr>
      <t xml:space="preserve">  Bills of exchange payable</t>
    </r>
  </si>
  <si>
    <r>
      <t xml:space="preserve">       </t>
    </r>
    <r>
      <rPr>
        <b/>
        <sz val="8"/>
        <rFont val="Arial"/>
        <family val="2"/>
      </rPr>
      <t>6</t>
    </r>
    <r>
      <rPr>
        <sz val="8"/>
        <rFont val="Arial"/>
        <family val="2"/>
      </rPr>
      <t xml:space="preserve">  Amounts owed to affiliated entities</t>
    </r>
  </si>
  <si>
    <r>
      <t xml:space="preserve">       </t>
    </r>
    <r>
      <rPr>
        <b/>
        <sz val="8"/>
        <rFont val="Arial"/>
        <family val="2"/>
      </rPr>
      <t>7</t>
    </r>
    <r>
      <rPr>
        <sz val="8"/>
        <rFont val="Arial"/>
        <family val="2"/>
      </rPr>
      <t xml:space="preserve">  Amounts owed to associated entities and jointly controlled entities</t>
    </r>
  </si>
  <si>
    <r>
      <t xml:space="preserve">       </t>
    </r>
    <r>
      <rPr>
        <b/>
        <sz val="8"/>
        <rFont val="Arial"/>
        <family val="2"/>
      </rPr>
      <t>8</t>
    </r>
    <r>
      <rPr>
        <sz val="8"/>
        <rFont val="Arial"/>
        <family val="2"/>
      </rPr>
      <t xml:space="preserve">  Other debts, including fiscal debts and debts related to social securities</t>
    </r>
  </si>
  <si>
    <t xml:space="preserve">E     NET CURRENT ASSETS/NET CURRENT LIABILITIES
         </t>
  </si>
  <si>
    <t xml:space="preserve">F     TOTAL ASSETS MINUS CURRENT LIABILITIES
  </t>
  </si>
  <si>
    <r>
      <t xml:space="preserve">       </t>
    </r>
    <r>
      <rPr>
        <b/>
        <sz val="8"/>
        <rFont val="Arial"/>
        <family val="2"/>
      </rPr>
      <t>1</t>
    </r>
    <r>
      <rPr>
        <sz val="8"/>
        <rFont val="Arial"/>
        <family val="2"/>
      </rPr>
      <t xml:space="preserve">  Provisions for employee benefits</t>
    </r>
  </si>
  <si>
    <r>
      <t xml:space="preserve">       </t>
    </r>
    <r>
      <rPr>
        <b/>
        <sz val="8"/>
        <rFont val="Arial"/>
        <family val="2"/>
      </rPr>
      <t>2</t>
    </r>
    <r>
      <rPr>
        <sz val="8"/>
        <rFont val="Arial"/>
        <family val="2"/>
      </rPr>
      <t xml:space="preserve">  Provisions for taxes</t>
    </r>
  </si>
  <si>
    <r>
      <t xml:space="preserve">       </t>
    </r>
    <r>
      <rPr>
        <b/>
        <sz val="8"/>
        <rFont val="Arial"/>
        <family val="2"/>
      </rPr>
      <t>3</t>
    </r>
    <r>
      <rPr>
        <sz val="8"/>
        <rFont val="Arial"/>
        <family val="2"/>
      </rPr>
      <t xml:space="preserve">  Other provisions</t>
    </r>
  </si>
  <si>
    <t xml:space="preserve">       TOTAL PROVISIONS</t>
  </si>
  <si>
    <r>
      <t xml:space="preserve">       </t>
    </r>
    <r>
      <rPr>
        <b/>
        <sz val="8"/>
        <rFont val="Arial"/>
        <family val="2"/>
      </rPr>
      <t>1</t>
    </r>
    <r>
      <rPr>
        <sz val="8"/>
        <rFont val="Arial"/>
        <family val="2"/>
      </rPr>
      <t xml:space="preserve">   Investment subsidies</t>
    </r>
  </si>
  <si>
    <t xml:space="preserve">             Amounts to be resumed in a period of up to one year</t>
  </si>
  <si>
    <t xml:space="preserve">             Amounts to be resumed in a period of more than one year</t>
  </si>
  <si>
    <r>
      <t xml:space="preserve">       </t>
    </r>
    <r>
      <rPr>
        <b/>
        <sz val="8"/>
        <rFont val="Arial"/>
        <family val="2"/>
      </rPr>
      <t>2</t>
    </r>
    <r>
      <rPr>
        <sz val="8"/>
        <rFont val="Arial"/>
        <family val="2"/>
      </rPr>
      <t xml:space="preserve">   Deferred income</t>
    </r>
  </si>
  <si>
    <r>
      <t xml:space="preserve">       </t>
    </r>
    <r>
      <rPr>
        <b/>
        <sz val="8"/>
        <rFont val="Arial"/>
        <family val="2"/>
      </rPr>
      <t>3</t>
    </r>
    <r>
      <rPr>
        <sz val="8"/>
        <rFont val="Arial"/>
        <family val="2"/>
      </rPr>
      <t xml:space="preserve">   Deferred revenues from assets received from transfer from clients</t>
    </r>
  </si>
  <si>
    <t xml:space="preserve">       Negative goodwill</t>
  </si>
  <si>
    <r>
      <t xml:space="preserve">       </t>
    </r>
    <r>
      <rPr>
        <b/>
        <sz val="8"/>
        <rFont val="Arial"/>
        <family val="2"/>
      </rPr>
      <t xml:space="preserve">1 </t>
    </r>
    <r>
      <rPr>
        <sz val="8"/>
        <rFont val="Arial"/>
        <family val="2"/>
      </rPr>
      <t xml:space="preserve">   Subscribed and paid up share capital</t>
    </r>
  </si>
  <si>
    <r>
      <t xml:space="preserve">       2</t>
    </r>
    <r>
      <rPr>
        <b/>
        <sz val="8"/>
        <rFont val="Arial"/>
        <family val="2"/>
      </rPr>
      <t xml:space="preserve"> </t>
    </r>
    <r>
      <rPr>
        <sz val="8"/>
        <rFont val="Arial"/>
        <family val="2"/>
      </rPr>
      <t xml:space="preserve">   Subscribed and not paid share capital</t>
    </r>
  </si>
  <si>
    <r>
      <t xml:space="preserve">       </t>
    </r>
    <r>
      <rPr>
        <b/>
        <sz val="8"/>
        <rFont val="Arial"/>
        <family val="2"/>
      </rPr>
      <t>3</t>
    </r>
    <r>
      <rPr>
        <sz val="8"/>
        <rFont val="Arial"/>
        <family val="2"/>
      </rPr>
      <t xml:space="preserve">   Patrimony (autonomus companies)</t>
    </r>
  </si>
  <si>
    <r>
      <t xml:space="preserve">       </t>
    </r>
    <r>
      <rPr>
        <b/>
        <sz val="8"/>
        <rFont val="Arial"/>
        <family val="2"/>
      </rPr>
      <t xml:space="preserve">4 </t>
    </r>
    <r>
      <rPr>
        <sz val="8"/>
        <rFont val="Arial"/>
        <family val="2"/>
      </rPr>
      <t xml:space="preserve">  Patrimony of national institutions for research and development</t>
    </r>
  </si>
  <si>
    <r>
      <t xml:space="preserve">       </t>
    </r>
    <r>
      <rPr>
        <b/>
        <sz val="8"/>
        <rFont val="Arial"/>
        <family val="2"/>
      </rPr>
      <t>5</t>
    </r>
    <r>
      <rPr>
        <sz val="8"/>
        <rFont val="Arial"/>
        <family val="2"/>
      </rPr>
      <t xml:space="preserve">   Other equity elements</t>
    </r>
  </si>
  <si>
    <t>II     SHARE PREMIUM ACCOUNT</t>
  </si>
  <si>
    <t>III   REVALUATION RESERVE</t>
  </si>
  <si>
    <r>
      <t xml:space="preserve">       </t>
    </r>
    <r>
      <rPr>
        <b/>
        <sz val="8"/>
        <rFont val="Arial"/>
        <family val="2"/>
      </rPr>
      <t>1</t>
    </r>
    <r>
      <rPr>
        <sz val="8"/>
        <rFont val="Arial"/>
        <family val="2"/>
      </rPr>
      <t xml:space="preserve">  Legal reserves</t>
    </r>
  </si>
  <si>
    <r>
      <t xml:space="preserve">       </t>
    </r>
    <r>
      <rPr>
        <b/>
        <sz val="8"/>
        <rFont val="Arial"/>
        <family val="2"/>
      </rPr>
      <t>2</t>
    </r>
    <r>
      <rPr>
        <sz val="8"/>
        <rFont val="Arial"/>
        <family val="2"/>
      </rPr>
      <t xml:space="preserve">  Statutory or contractual capital reserve</t>
    </r>
  </si>
  <si>
    <r>
      <t xml:space="preserve">       </t>
    </r>
    <r>
      <rPr>
        <b/>
        <sz val="8"/>
        <rFont val="Arial"/>
        <family val="2"/>
      </rPr>
      <t>3</t>
    </r>
    <r>
      <rPr>
        <sz val="8"/>
        <rFont val="Arial"/>
        <family val="2"/>
      </rPr>
      <t xml:space="preserve">  Other reserves</t>
    </r>
  </si>
  <si>
    <t>Own shares</t>
  </si>
  <si>
    <t>Gains related to own equity instruments</t>
  </si>
  <si>
    <t>Losses related to own equity instruments</t>
  </si>
  <si>
    <t>V. Profit or loss carried forward</t>
  </si>
  <si>
    <t>VI. Profit or loss for the period</t>
  </si>
  <si>
    <t xml:space="preserve">        Distribution of profit</t>
  </si>
  <si>
    <t xml:space="preserve">        TOTAL EQUITY
      </t>
  </si>
  <si>
    <t xml:space="preserve">        Public patrimony</t>
  </si>
  <si>
    <t xml:space="preserve">        Private patrimony </t>
  </si>
  <si>
    <t xml:space="preserve">        TOTAL CAPITAL</t>
  </si>
  <si>
    <t>1.       Net turnover</t>
  </si>
  <si>
    <t>2.     Revenue related to the cost of the work in progress</t>
  </si>
  <si>
    <t xml:space="preserve">3.       Income from production of tangible and intangible assets 
</t>
  </si>
  <si>
    <t>4.       Income from the revaluation of tangible assets</t>
  </si>
  <si>
    <t>5.      Income from production of real estate investments</t>
  </si>
  <si>
    <t>6.       Income from operating subsidies</t>
  </si>
  <si>
    <t>7. Other operating income</t>
  </si>
  <si>
    <t xml:space="preserve">OPERATING INCOME – TOTAL
</t>
  </si>
  <si>
    <t xml:space="preserve">         Sales of goods</t>
  </si>
  <si>
    <t xml:space="preserve">         Sales of merchandise</t>
  </si>
  <si>
    <t xml:space="preserve">         Discounts granted</t>
  </si>
  <si>
    <t xml:space="preserve">         Revenue from operating subsidies related to the turnover</t>
  </si>
  <si>
    <t xml:space="preserve">        Revenue related to the cost of the work in progress</t>
  </si>
  <si>
    <t xml:space="preserve">             - out of which, income from investment subsidies</t>
  </si>
  <si>
    <t xml:space="preserve">             - out of which, income from negative goodwill</t>
  </si>
  <si>
    <t>8. a) Expenses related to raw materials and consumables</t>
  </si>
  <si>
    <t xml:space="preserve">         Other material expenses</t>
  </si>
  <si>
    <t xml:space="preserve">    b) Other external expenses (power and water supply)</t>
  </si>
  <si>
    <t>- 	out of which, expenses with power consumption</t>
  </si>
  <si>
    <t>- out of which, expenses with natural gas consumption</t>
  </si>
  <si>
    <t xml:space="preserve">        c)  Merchandise expenses</t>
  </si>
  <si>
    <t>Commercial discounts received</t>
  </si>
  <si>
    <t>9. Personnel expenses</t>
  </si>
  <si>
    <t xml:space="preserve">         a) Salaries and allowance</t>
  </si>
  <si>
    <t xml:space="preserve">         b) Social security</t>
  </si>
  <si>
    <t>10. a) Value adjustments regarding tangible and intangible assets</t>
  </si>
  <si>
    <t xml:space="preserve">         a. 1) Expenses with depreciation and amortisation</t>
  </si>
  <si>
    <t xml:space="preserve">         a. 2) Other expenses</t>
  </si>
  <si>
    <t xml:space="preserve">         a. 3) Income</t>
  </si>
  <si>
    <t>10. b) Value adjustments regarding current assets</t>
  </si>
  <si>
    <t xml:space="preserve">         b. 1) Expenses</t>
  </si>
  <si>
    <t xml:space="preserve">         b. 2) Income</t>
  </si>
  <si>
    <t>11. Other operating expenses</t>
  </si>
  <si>
    <t xml:space="preserve">         11.1. External services expenses</t>
  </si>
  <si>
    <t xml:space="preserve">         11.2.Expenses with Royalties, management leases and rental</t>
  </si>
  <si>
    <t xml:space="preserve">          - Expenses with Royalties</t>
  </si>
  <si>
    <t xml:space="preserve">          - Expenses with Management leases</t>
  </si>
  <si>
    <t xml:space="preserve">          - Expenses with Rent expenses</t>
  </si>
  <si>
    <t xml:space="preserve">         11.2.Expenses with Intellectual property rights</t>
  </si>
  <si>
    <t xml:space="preserve">         11.4. Expenses with management</t>
  </si>
  <si>
    <t xml:space="preserve">         11.5. Expenses with consulting</t>
  </si>
  <si>
    <t xml:space="preserve">         11.6. Expenses with other taxes, charges and similar expenses; Transfers and contributions owed based on special acts of legislation</t>
  </si>
  <si>
    <t xml:space="preserve">         11.7. Expenses with environmental protection</t>
  </si>
  <si>
    <t xml:space="preserve">         11.8. Expenses related to revaluation of tangible assets</t>
  </si>
  <si>
    <t xml:space="preserve">         11.9. Expenses related to natural disasters and other similar events</t>
  </si>
  <si>
    <t xml:space="preserve">         11.10. Other expenses</t>
  </si>
  <si>
    <t>12. Adjustments regarding the provisions</t>
  </si>
  <si>
    <t xml:space="preserve">         - Expenses</t>
  </si>
  <si>
    <t xml:space="preserve">         - Income</t>
  </si>
  <si>
    <t xml:space="preserve">OPERATING EXPENSES – TOTAL  
</t>
  </si>
  <si>
    <t xml:space="preserve">         - Profit</t>
  </si>
  <si>
    <t xml:space="preserve">         - Loss</t>
  </si>
  <si>
    <t>13. Income from participating interests</t>
  </si>
  <si>
    <t>14. Interest income</t>
  </si>
  <si>
    <t xml:space="preserve">15. Income from operating subsidies for interest payable 
</t>
  </si>
  <si>
    <t>16. Other financial income</t>
  </si>
  <si>
    <t>- of which, income from financial assets</t>
  </si>
  <si>
    <t>FINANCIAL INCOME – TOTAL</t>
  </si>
  <si>
    <t>17. Value adjustments regarding the financial assets and financial investments held as current assets</t>
  </si>
  <si>
    <t xml:space="preserve">             Expenses</t>
  </si>
  <si>
    <t xml:space="preserve">             Income</t>
  </si>
  <si>
    <t>18. Interest expenses</t>
  </si>
  <si>
    <t>19. Other financial expenses</t>
  </si>
  <si>
    <t>FINANCIAL EXPENSES – TOTAL</t>
  </si>
  <si>
    <t>TOTAL INCOME</t>
  </si>
  <si>
    <t>TOTAL EXPENSES</t>
  </si>
  <si>
    <t>20.      Income Tax</t>
  </si>
  <si>
    <t>21.  Expenses with income tax, including minimum turnover tax, resulting from income tax settlements in the tax group</t>
  </si>
  <si>
    <t>22. Income from income tax, including minimum turnover tax, resulting from income tax settlements in the tax group</t>
  </si>
  <si>
    <t>23. Expenses with income tax at the level of the minimum turnover tax</t>
  </si>
  <si>
    <t>24. Other taxes not included in the captions above</t>
  </si>
  <si>
    <t xml:space="preserve">NET PROFIT OR LOSS FOR THE REPORTING PERIOD
- Profit </t>
  </si>
  <si>
    <t xml:space="preserve">- Loss </t>
  </si>
  <si>
    <t>TCA 2024 nicht verformelt weil Wert nicht aufgeht -&gt; Fehler in Ursprungsdatei</t>
  </si>
  <si>
    <t xml:space="preserve"> - of which, income from affiliates</t>
  </si>
  <si>
    <t>BALANCE SHEET</t>
  </si>
  <si>
    <t>as at December 31, 2024</t>
  </si>
  <si>
    <t>Row no.</t>
  </si>
  <si>
    <t xml:space="preserve">       1 Set-up expenses (acc. 201 - 2801)</t>
  </si>
  <si>
    <t xml:space="preserve">       2 Development expenses (acc. 2023 - 2803 - 2903)</t>
  </si>
  <si>
    <t xml:space="preserve">       3 Concessions, patents, licenses, trademarks, similar rights and assets and other intangible assets (acc. 205 + 208 - 2805 - 2808 - 2905 - 2908)</t>
  </si>
  <si>
    <t xml:space="preserve">     4  Goodwill (acc. 2071 - 2807)</t>
  </si>
  <si>
    <t xml:space="preserve">       5  Intangible exploration assets and evaluation of mineral resources (206 - 2806 - 2906)</t>
  </si>
  <si>
    <t xml:space="preserve">      6 Advances (acc. 4094 - 4904)</t>
  </si>
  <si>
    <t xml:space="preserve">       1  Land and buildings (acc. 211 + 212 - 2811 - 2812 - 2911 - 2912)  </t>
  </si>
  <si>
    <t xml:space="preserve">       2  Installations and machinery (acc. 213 + 223 - 2813 - 2913)  </t>
  </si>
  <si>
    <t xml:space="preserve">       3  Other installations, machines and furniture (acc. 214 + 224 - 2814 - 2914)</t>
  </si>
  <si>
    <t xml:space="preserve">       4  Investment property (acc. 215 - 2815 - 2915)</t>
  </si>
  <si>
    <t xml:space="preserve">       5 Tangible assets in progress (acc. 231 - 2931)</t>
  </si>
  <si>
    <t xml:space="preserve">       6 Investment property in progress (acc. 235 - 2935)</t>
  </si>
  <si>
    <t xml:space="preserve">       7  Tangible assets for exploration and valuation of mineral resources (acc. 216 - 2816 - 2916)</t>
  </si>
  <si>
    <t xml:space="preserve">       8  Productive biological assets (acc. 217 + 227 - 2817 - 2917)</t>
  </si>
  <si>
    <t xml:space="preserve">       9 Advances (acc. 4093 - 4903)</t>
  </si>
  <si>
    <t xml:space="preserve">       1  Investments in related parties (acc. 261 - 2961)</t>
  </si>
  <si>
    <t xml:space="preserve">       2  Loans granted to related parties (acc. 2671 + 2671 - 2964)</t>
  </si>
  <si>
    <t xml:space="preserve">       3  Equity investment (acc. 262 + 263 - 2962)</t>
  </si>
  <si>
    <t xml:space="preserve">       4  Loans granted to associated entities and jointly controlled entities (acc. 2673 + 2674 - 2965)</t>
  </si>
  <si>
    <t xml:space="preserve">       5  Other fixed assets (acc. 265  + 266 - 2963)</t>
  </si>
  <si>
    <t xml:space="preserve">       6  Other loans (acc. 2675* + 2676* + 2677 + 2678* + 2679* -  2966* - 2968*)</t>
  </si>
  <si>
    <t xml:space="preserve">       1  Raw materials and consumables (acc. 301 + 302 + 303 +/- 308 +321 + 322 + 323 + 328 + 351 + 358 + 381 +/- 388 - 391 - 392 - 3951 - 3958 - 398)</t>
  </si>
  <si>
    <t xml:space="preserve">       2  Production in progress (acc. 331 + 332 +341 +/- 348* - 393 - 3941 - 3952)</t>
  </si>
  <si>
    <t xml:space="preserve">       3  Finished goods and commodities (acc. 327 + 345 + 346 + 347 +/- 348* + 354 + 356 + 357 + 361 + 326 +/- 368 + 371 +/- 378 - 3945 - 3946 - 3947 - 3953 - 3954 - 3955 - 3956 - 3957 - 396 - 397 - din ct 4428)</t>
  </si>
  <si>
    <t xml:space="preserve">       4  Advances (acc. 4091 - 4901)</t>
  </si>
  <si>
    <t xml:space="preserve">       1  Trade receivables (acc. 2675* + 2676* + 2678* + 2679* - 2966* - 2968* + 4092 + 411 + 413 + 418 - 4902 - 491)</t>
  </si>
  <si>
    <t xml:space="preserve">       2  Receivables from affiliated entities (acc. 451** - 495*)</t>
  </si>
  <si>
    <t xml:space="preserve">       3  Receivables from associated entities and jointly controlled entities (acc. 453** - 495*)</t>
  </si>
  <si>
    <t xml:space="preserve">       4  Other receivables (ct 425 + 4282 + 431** + 436**+437** + 4382 + 441** + 4424 + din ct 4428** + 444** + 445 + 446 ** + 447** + 4482 + 4582 + 4662 + 461 + 473** - 496 + 5187)</t>
  </si>
  <si>
    <t xml:space="preserve">       5  Subscribed and not paid capital (acc. 456 - 495*)</t>
  </si>
  <si>
    <t xml:space="preserve">       6 Dividends receivables for interim distributions (acc. 463)</t>
  </si>
  <si>
    <t xml:space="preserve">       1  Shares owned in affiliated entities (acc. 501 - 591)</t>
  </si>
  <si>
    <t xml:space="preserve">       2  Other short-term investments  (acc. 505 + 506 + 507 + din  ct 508 - 595 - 596 - 598 + 5113 + 5114)</t>
  </si>
  <si>
    <t>Test</t>
  </si>
  <si>
    <t>Nr. crt.</t>
  </si>
  <si>
    <t>Nr. rd.</t>
  </si>
  <si>
    <t>Mapping</t>
  </si>
  <si>
    <t xml:space="preserve">Variation
- RON - </t>
  </si>
  <si>
    <t>ACTIVE IMOBILIZATE</t>
  </si>
  <si>
    <t>I. IMOBILIZĂRI NECORPORALE</t>
  </si>
  <si>
    <t xml:space="preserve">       1 Cheltuieli de constituire (ct 201 - 2801)</t>
  </si>
  <si>
    <t>INTANGIBLES</t>
  </si>
  <si>
    <t xml:space="preserve">       2 Cheltuieli de dezvoltare (ct 203 - 2803 - 2903)</t>
  </si>
  <si>
    <t xml:space="preserve">       3 Concesiuni, brevete, licente, marci comerciale, drepturi si active similare si alte imobilizari necorporale (ct 205 + 208 - 2805 - 2808 - 2905 - 2908)</t>
  </si>
  <si>
    <t xml:space="preserve">       4 Fond comercial (ct 2071 - 2807)</t>
  </si>
  <si>
    <t xml:space="preserve">       5 Active necorporale de explorare si evaluare a resurselor minerale (206 - 2806 - 2906)</t>
  </si>
  <si>
    <t xml:space="preserve">       6 Avansuri (ct 4094 - 4904)</t>
  </si>
  <si>
    <t xml:space="preserve">       TOTAL (rd. 01 la 06) </t>
  </si>
  <si>
    <t>II. IMOBILIZĂRI CORPORALE</t>
  </si>
  <si>
    <t xml:space="preserve">       1  Terenuri si constructii (ct 211 + 212 - 2811 - 2812 - 2911 - 2912)  </t>
  </si>
  <si>
    <t>PROPERTY</t>
  </si>
  <si>
    <t xml:space="preserve">       2  Instalatii tehnice si masini (ct 213 + 223 - 2813 - 2913)  </t>
  </si>
  <si>
    <t xml:space="preserve">       3  Alte instalatii, utilaje si mobilier (ct 214 + 224 - 2814 - 2914)</t>
  </si>
  <si>
    <t xml:space="preserve">       4  Investitii imobiliare (ct 215 - 2815 - 2915)</t>
  </si>
  <si>
    <t xml:space="preserve">       5  Imobilizari corporale in curs de executie (ct 231 - 2931)</t>
  </si>
  <si>
    <t xml:space="preserve">       6  Investitii imobiliare in curs de executie (ct 235 - 2935)</t>
  </si>
  <si>
    <t xml:space="preserve">       7  Active corporale de explorare si evaluare a resurselor minerale (ct 216 - 2816 - 2916)</t>
  </si>
  <si>
    <t xml:space="preserve">       8  Active biologice productive (ct 217 + 227 - 2817 - 2917)</t>
  </si>
  <si>
    <t xml:space="preserve">       9  Avansuri (ct 4093 - 4903)</t>
  </si>
  <si>
    <t xml:space="preserve">       TOTAL (rd. 08 la 16)      </t>
  </si>
  <si>
    <t>III. IMOBILIZĂRI FINANCIARE</t>
  </si>
  <si>
    <t xml:space="preserve">       1  Actiuni detinute la filiale (ct 261 - 2961)</t>
  </si>
  <si>
    <t>FINANCIAL ASSETS</t>
  </si>
  <si>
    <t xml:space="preserve">       2  Imprumuturi acordate entitatilor din grup (ct 2671 + 2672 - 2964)</t>
  </si>
  <si>
    <t xml:space="preserve">       3  Actiunile detinute la entitatile asociate si la entitatile controlate in comun (ct 262 + 263 - 2962)</t>
  </si>
  <si>
    <t xml:space="preserve">       4  Imprumuturi acordate entitatilor asociate si entitatilor controlate in comun (ct 2673 + 2674 - 2965)</t>
  </si>
  <si>
    <t xml:space="preserve">       5  Alte titluri imobilizate (ct 265 - 2963)</t>
  </si>
  <si>
    <t xml:space="preserve">       6  Alte imprumuturi (ct 2675* + 2676* + 2677 + 2678* + 2679* -  2966* - 2968*)</t>
  </si>
  <si>
    <t xml:space="preserve">       TOTAL (rd. 18 la 23)</t>
  </si>
  <si>
    <t xml:space="preserve">       ACTIVE IMOBILIZATE - TOTAL (rd. 07+17+24) </t>
  </si>
  <si>
    <t>ACTIVE CIRCULANTE</t>
  </si>
  <si>
    <t>I. STOCURI</t>
  </si>
  <si>
    <t xml:space="preserve">       1  Materii prime si materiale consumabile (ct 301 + 302 + 303 +/- 308 +321 + 322 + 323 + 328 + 351 + 358 + 381 +/- 388 - 391 - 392 - 3951 - 3958 - 398)</t>
  </si>
  <si>
    <t>INVENTORY</t>
  </si>
  <si>
    <t xml:space="preserve">       2  Productia in curs de executie (ct 331 + 332 + 341 +/- 348* - 393 - 3941 - 3952)</t>
  </si>
  <si>
    <t xml:space="preserve">       3  Produse finite si marfuri (ct 327 + 345 + 346 + 347 +/- 348* + 354 + 356 + 357 + 361 + 326 +/- 368 + 371 +/- 378 - 3945 - 3946 - 3947 - 3953 - 3954 - 3955 - 3956 - 3957 - 396 - 397 - din ct 4428)</t>
  </si>
  <si>
    <t xml:space="preserve">       4  Avansuri (ct 4091 - 4901)</t>
  </si>
  <si>
    <t xml:space="preserve">       TOTAL (rd. 26 la 29)</t>
  </si>
  <si>
    <t>II. CREANȚE</t>
  </si>
  <si>
    <t xml:space="preserve">       1  Creante comerciale (ct 2675* + 2676* + 2678* + 2679* - 2966* - 2968* + 4092 + 411 + 413 + 418 - 4902 - 491)</t>
  </si>
  <si>
    <t>RECEIVABLES</t>
  </si>
  <si>
    <t xml:space="preserve">       2  Sume de incasat de la entitatile afiliate (ct 451** - 495*)</t>
  </si>
  <si>
    <t xml:space="preserve">       3  Sume de incasat de la entitatile asociate si entitatile controlate in comun (ct 453** - 495*)</t>
  </si>
  <si>
    <t xml:space="preserve">       4  Alte creante (ct 425 + 4282 + 431** + 436**+437** + 4382 + 441** + 4424 + din ct 4428** + 444** + 445 + 446 ** + 447** + 4482 + 4582 + 4662 + 461 + 473** - 496 + 5187)</t>
  </si>
  <si>
    <t xml:space="preserve">       5  Capital subscris si nevarsat (ct 456 - 495*)</t>
  </si>
  <si>
    <t xml:space="preserve">       6 Creanțe reprezentând dividende repartizate în cursul exercițiului financiar (ct. 463)</t>
  </si>
  <si>
    <t>TOTAL (rd 31. la 36)</t>
  </si>
  <si>
    <t>III. INVESTIȚII PE TERMEN SCURT</t>
  </si>
  <si>
    <t xml:space="preserve">       1  Actiuni detinute la entitatile afiliate (ct 501 - 591)</t>
  </si>
  <si>
    <t>SHORT-TERM INVESTMENTS</t>
  </si>
  <si>
    <t xml:space="preserve">       2  Alte investitii pe termen scurt (ct 505 + 506 + 507 + din  ct 508 - 595 - 596 - 598 + 5113 + 5114)</t>
  </si>
  <si>
    <t xml:space="preserve">       TOTAL (rd. 38 + 39)</t>
  </si>
  <si>
    <t>IV   CASA SI CONTURI LA BANCI (din ct 508 + ct 5112 + 512 + 531 + 532 + 541 + 542)</t>
  </si>
  <si>
    <t>CASH</t>
  </si>
  <si>
    <t xml:space="preserve">       ACTIVE CIRCULANTE - TOTAL (rd. 30+37+40+41) </t>
  </si>
  <si>
    <t>CHELTUIELI IN AVANS (ct 471 + 474) (rd 44 + 45)</t>
  </si>
  <si>
    <t>PREPAYMENTS</t>
  </si>
  <si>
    <t xml:space="preserve">             Sume de reluat intr-o perioada de pana la un an (din ct 471* + 474)</t>
  </si>
  <si>
    <t xml:space="preserve">             Sume de reluat intr-o perioada mai mare de un an (din ct 471* + 474)</t>
  </si>
  <si>
    <t>DATORII: SUMELE CARE TREBUIE PLĂTITE ÎNTR-O PERIOADĂ
DE PÂNĂ LA UN AN</t>
  </si>
  <si>
    <t xml:space="preserve">       1  Imprumuturi din emisiuni de obligatiuni, prezentandu-se separat imprumuturile din emisiunea de obligatiuni convertibile (ct 161 +1681 - 169)</t>
  </si>
  <si>
    <t>PAYABLES &lt; 1Yr</t>
  </si>
  <si>
    <t xml:space="preserve">       1  Loans from the issue of bonds; the issue of convertible bonds shall be disclosed separately (acc. 161 +1681 - 169)</t>
  </si>
  <si>
    <t xml:space="preserve">       2  Sume datorate institutiilor de credit (ct 1621 + 1622 + 1624 + 1625 + 1627 + 1682 + 5191 + 5192 + 5198)</t>
  </si>
  <si>
    <t xml:space="preserve">       2  Amounts owed to credit institutions (acc. 1621 + 1622 + 1624 + 1625 + 1627 + 1682 + 5191 + 5192 + 5198)</t>
  </si>
  <si>
    <t xml:space="preserve">       3  Avansuri incasate in contul comenzilor (ct 419)</t>
  </si>
  <si>
    <t xml:space="preserve">       3 Advances received for the orders (acc. 419)</t>
  </si>
  <si>
    <t xml:space="preserve">       4  Datorii comerciale - furnizori (ct 401 + 404 + 408)</t>
  </si>
  <si>
    <t xml:space="preserve">       4  Trade payables - suppliers (acc. 401 + 404 + 408)</t>
  </si>
  <si>
    <t xml:space="preserve">       5  Efecte de comert de platit (ct 403 + 405)</t>
  </si>
  <si>
    <t xml:space="preserve">       5  Bills of exchange payable (acc. 403 + 405)</t>
  </si>
  <si>
    <t xml:space="preserve">       6  Sume datorate entitatilor din grup (ct. 1661 + 1685 + 2691 + 451***)</t>
  </si>
  <si>
    <t xml:space="preserve">       6  Amounts owed to affiliated entities (acc. 1661 + 1685 + 2691 + 451***)</t>
  </si>
  <si>
    <t xml:space="preserve">       7  Sume datorate entitatilor asociate si entitatlor controlate in comun (ct. 1663 + 1686 + 2692 + 2693 + 453***)</t>
  </si>
  <si>
    <t xml:space="preserve">       7  Amounts owed to associated entities and jointly controlled entities (acc. 1663 + 1686 + 2692 + 2693 + 453***)</t>
  </si>
  <si>
    <t xml:space="preserve">       8  Alte datorii, inclusiv datoriile fiscale si datoriile privind asigurarile sociale pentru asigurarile sociale (ct. 1623 + 1626 + 167 + 1687 + 2695 + 421 + 423 + 424 + 426 + 427 + 4281 + 431***  + 436*** + 437*** + 4381 + 441*** + 4423 + 4428*** + 444*** + 446*** + 447*** + 4481 + 455 + 456*** + 457 + 4581 + 462 + 4661 + 467 + 473*** + 509 + 5186 + 5193 + 5194 + 5195 + 5196 + 5197)</t>
  </si>
  <si>
    <t xml:space="preserve">       8  Other debts, including fiscal debts and debts related to social securities (acc. 1623 + 1626 + 167 + 1687 + 2695 + 421 + 423 + 424 + 426 + 427 + 4281 + 431***  + 436*** + 437*** + 4381 + 441*** + 4423 + 4428*** + 444*** + 446*** + 447*** + 4481 + 455 + 456*** + 457 + 4581 + 462 + 4661 + 467 + 473*** + 509 + 5186 + 5193 + 5194 + 5195 + 5196 + 5197)</t>
  </si>
  <si>
    <t xml:space="preserve">       TOTAL (rd. 46 la 53) </t>
  </si>
  <si>
    <t>ACTIVE CIRCULANTE NETE/DATORII CURENTE NETE)
       (rd. 42 + 44 - 54 - 71 - 74 - 77)</t>
  </si>
  <si>
    <t>TOTAL ACTIVE MINUS DATORII CURENTE (rd. 25 + 45 + 55)</t>
  </si>
  <si>
    <t>DATORII: SUMELE CARE TREBUIE PLĂTITE ÎNTR-O PERIOADĂ
MAI MARE DE UN AN</t>
  </si>
  <si>
    <t xml:space="preserve">       1  Imprumuturi din emisiuni de obligatiuni, prezentandu-se separat imprumuturile din emisiunea de obligatiuni convertibile (ct 161 + 1681 - 169)</t>
  </si>
  <si>
    <t>PAYABLES &gt; 1Yr</t>
  </si>
  <si>
    <t xml:space="preserve">       1  Loans from the issue of bonds; the issue of convertible bonds shall be disclosed separately (acc. 161 + 1681 - 169)</t>
  </si>
  <si>
    <t xml:space="preserve">       6  Sume datorate entitatilor din grup (ct 1661 + 1685 + 2691 + 451***)</t>
  </si>
  <si>
    <t xml:space="preserve">       7  Sume datorate entitatilor asociate si entitatilor controlate in comun (ct 1663 + 1686 + 2692 + 2693 + 453***)</t>
  </si>
  <si>
    <t xml:space="preserve">       8  Alte datorii, inclusiv datoriile fiscale si datoriile privind asigurarile sociale pentru asigurarile sociale (ct 1623 + 1626 + 167 + 1687 + 2695 + 421 + 423 + 424 + 426 + 427 + 4281 + 431*** + 436***+437*** + 4381 + 441*** + 4423 + 4428*** + 444*** + 446*** + 447*** + 4481 + 455 + 456*** + 4581 + 462 + 4661 + 467 + 473*** + 509 + 5186 + 5193 + 5194 + 5195 + 5196 + 5197)</t>
  </si>
  <si>
    <t xml:space="preserve">       8  Other debts, including fiscal debts and debts related to social securities (acc. 1623 + 1626 + 167 + 1687 + 2695 + 421 + 423 + 424 + 426 + 427 + 4281 + 431*** + 436***+437*** + 4381 + 441*** + 4423 + 4428*** + 444*** + 446*** + 447*** + 4481 + 455 + 456*** + 4581 + 462 + 4661 + 473*** + 509 + 5186 + 5193 + 5194 + 5195 + 5196 + 5197)</t>
  </si>
  <si>
    <t xml:space="preserve">       TOTAL (rd. 57 la 64)</t>
  </si>
  <si>
    <t>PROVIZIOANE</t>
  </si>
  <si>
    <t xml:space="preserve">       1 Provizioane pentru beneficiile angajatilor (ct. 1515 + 1517)</t>
  </si>
  <si>
    <t xml:space="preserve">       1  Provisions for employee benefits (acc. 1515 + 1517)</t>
  </si>
  <si>
    <t xml:space="preserve">       2 Provizioane pentru impozite (ct. 1516)</t>
  </si>
  <si>
    <t xml:space="preserve">       2  Provisions for taxes (acc. 1516)</t>
  </si>
  <si>
    <t xml:space="preserve">       3 Alte provizioane (ct. 1511 + 1512 + 1513 + 1514 + 1518)</t>
  </si>
  <si>
    <t xml:space="preserve">       3  Other provisions (acc. 1511 + 1512 + 1513 + 1514 + 1518)</t>
  </si>
  <si>
    <t xml:space="preserve">       TOTAL (rd. 66 + 67 + 68)</t>
  </si>
  <si>
    <t>VENITURI IN AVANS</t>
  </si>
  <si>
    <t xml:space="preserve">       1 Subventii pentru investitii (ct. 475) (rd. 71 + 72), din care:</t>
  </si>
  <si>
    <t>ACCRUED INCOME</t>
  </si>
  <si>
    <t xml:space="preserve">       1   Investment subsidies (acc. 475) (row 71 + 72), out of which:</t>
  </si>
  <si>
    <t xml:space="preserve">             Sume de reluat intr-o perioada de pana la un an (din ct 475*)</t>
  </si>
  <si>
    <t xml:space="preserve">             Sume de reluat intr-o perioada mai mare de un an (din ct 475*)</t>
  </si>
  <si>
    <t xml:space="preserve">       2 Venituri inregistrate in avans (ct 472) - total (rd 74 + 75), din care:</t>
  </si>
  <si>
    <t xml:space="preserve">       2   Deferred income  (acc. 472) - total (row 74 + 75), out of which:</t>
  </si>
  <si>
    <t xml:space="preserve">             Sume de reluat intr-o perioada de pana la un an (ct 472*)</t>
  </si>
  <si>
    <t xml:space="preserve">             Sume de reluat intr-o perioada mai mare de un an (ct 472*)</t>
  </si>
  <si>
    <t xml:space="preserve">       3 Venituri inregistrate in avans aferente activelor primite prin transfer de la clienti (ct 478) (rd 77 + 78)</t>
  </si>
  <si>
    <t xml:space="preserve">       3   Deferred revenues from assets received from transfer from clients (acc. 478) (row 77 + 78)</t>
  </si>
  <si>
    <t xml:space="preserve">             Sume de reluat intr-o perioada de pana la un an (din ct 478*)</t>
  </si>
  <si>
    <t xml:space="preserve">             Sume de reluat intr-o perioada mai mare de un an (din ct 478*)</t>
  </si>
  <si>
    <t xml:space="preserve">       Fond comercial negativ (ct 2075)</t>
  </si>
  <si>
    <t xml:space="preserve">       TOTAL (rd. 70 + 73 + 76 + 79)</t>
  </si>
  <si>
    <t>CAPITAL ȘI REZERVE</t>
  </si>
  <si>
    <t xml:space="preserve">       1  Capital subscris varsat (ct 1012)</t>
  </si>
  <si>
    <t>EQUITY</t>
  </si>
  <si>
    <t xml:space="preserve">       1    Subscribed and paid up share capital (acc. 1012)</t>
  </si>
  <si>
    <t xml:space="preserve">       2  Capital subscris nevarsat (ct 1011)</t>
  </si>
  <si>
    <t xml:space="preserve">       2    Subscribed and not paid share capital (acc. 1011)</t>
  </si>
  <si>
    <t xml:space="preserve">       3  Patrimoniul regiei (ct 1015)</t>
  </si>
  <si>
    <t xml:space="preserve">       3   Patrimony (autonomus companies) (acc. 1015)</t>
  </si>
  <si>
    <t xml:space="preserve">       4  Patrimoniul institutelor nationale de cercetare-dezvoltare (ct 1018)</t>
  </si>
  <si>
    <t xml:space="preserve">       4   Patrimony of national institutions for research and development (acc. 1018)</t>
  </si>
  <si>
    <t xml:space="preserve">       5 Alte elemente  de capitaluri proprii (ct 1031)</t>
  </si>
  <si>
    <t xml:space="preserve">       5   Other equity elements (acc. 1031)</t>
  </si>
  <si>
    <t xml:space="preserve">       TOTAL (rd. 81 + 82 + 83 + 84 + 85)</t>
  </si>
  <si>
    <t xml:space="preserve">II     PRIME DE CAPITAL  (ct 104) </t>
  </si>
  <si>
    <t>III   REZERVE DIN REEVALUARE  (ct 105)</t>
  </si>
  <si>
    <t>IV   REZERVE</t>
  </si>
  <si>
    <t xml:space="preserve">       1  Rezerve legale (ct 1061)</t>
  </si>
  <si>
    <t xml:space="preserve">       1  Legal reserves  (ct 1061)</t>
  </si>
  <si>
    <t xml:space="preserve">       2  Rezerve statutare sau contractuale (ct 1063)</t>
  </si>
  <si>
    <t xml:space="preserve">       2  Statutory or contractual capital reserve (acc. 1063)</t>
  </si>
  <si>
    <t xml:space="preserve">       3  Alte rezerve (ct 1068)</t>
  </si>
  <si>
    <t xml:space="preserve">       3  Other reserves (acc. 1068)</t>
  </si>
  <si>
    <t xml:space="preserve">       TOTAL (rd. 89 la 91)</t>
  </si>
  <si>
    <t>Actiuni proprii (ct 109)</t>
  </si>
  <si>
    <t>Castiguri legate de instrumentele de capitaluri proprii (ct 141)</t>
  </si>
  <si>
    <t>Pierderi legate de instrumentele de capitaluri proprii (ct 149)</t>
  </si>
  <si>
    <t>V. Profit sau pierdere raportata (ct.117)</t>
  </si>
  <si>
    <t xml:space="preserve">             - Sold C</t>
  </si>
  <si>
    <t xml:space="preserve">             - Sold D</t>
  </si>
  <si>
    <t xml:space="preserve">VI. Profit sau pierdere la sfaritul perioadei de raportare (ct.121)          </t>
  </si>
  <si>
    <t xml:space="preserve">           - Sold C</t>
  </si>
  <si>
    <t xml:space="preserve">           - Sold D</t>
  </si>
  <si>
    <t xml:space="preserve">        Repartizarea profitului (ct 129)</t>
  </si>
  <si>
    <t xml:space="preserve">        CAPITALURI PROPRII - TOTAL
          (rd. 86+87+ 88 + 92-93+94-95+96-97+98-99-100)</t>
  </si>
  <si>
    <t xml:space="preserve">        Patrimoniul public (ct 1016)</t>
  </si>
  <si>
    <t xml:space="preserve">        Patrimoniul privat (ct 1017)</t>
  </si>
  <si>
    <t xml:space="preserve">        CAPITALURI - TOTAL (rd. 101+102 + 103) </t>
  </si>
  <si>
    <t>Activ: rd.  25+41+42</t>
  </si>
  <si>
    <t>Asset: row. 25+41+42</t>
  </si>
  <si>
    <t>Pasiv: rd. 53+64+68+79+103</t>
  </si>
  <si>
    <t>Passive: row. 53+64+68+79+103</t>
  </si>
  <si>
    <t>Activ Net: rd. 55-64-68-69</t>
  </si>
  <si>
    <t>Net asset: row. 55-64-68-69</t>
  </si>
  <si>
    <t>Capitaluri Proprii: rd. 103</t>
  </si>
  <si>
    <t>Equity: row 103</t>
  </si>
  <si>
    <t xml:space="preserve">Original Version </t>
  </si>
  <si>
    <t>Original Translated Version</t>
  </si>
  <si>
    <t>sold la 
31.09.2024</t>
  </si>
  <si>
    <t>FY23</t>
  </si>
  <si>
    <t>FY24</t>
  </si>
  <si>
    <t xml:space="preserve">       1 Set-up expenses</t>
  </si>
  <si>
    <t xml:space="preserve">       2 Development expenses</t>
  </si>
  <si>
    <t xml:space="preserve">       3 Concessions, patents, licenses, trademarks, similar rights and assets and other intangible assets</t>
  </si>
  <si>
    <t xml:space="preserve">     4  Goodwill</t>
  </si>
  <si>
    <t xml:space="preserve">       5  Intangible exploration assets and evaluation of mineral resources</t>
  </si>
  <si>
    <t xml:space="preserve">      6 Advances</t>
  </si>
  <si>
    <t xml:space="preserve">       1  Land and buildings</t>
  </si>
  <si>
    <t xml:space="preserve">       2  Installations and machinery</t>
  </si>
  <si>
    <t xml:space="preserve">       3  Other installations, machines and furniture</t>
  </si>
  <si>
    <t xml:space="preserve">       4  Investment property</t>
  </si>
  <si>
    <t xml:space="preserve">       5 Tangible assets in progress</t>
  </si>
  <si>
    <t xml:space="preserve">       6 Investment property in progress</t>
  </si>
  <si>
    <t xml:space="preserve">       7  Tangible assets for exploration and valuation of mineral resources</t>
  </si>
  <si>
    <t xml:space="preserve">       8  Productive biological assets</t>
  </si>
  <si>
    <t xml:space="preserve">       9 Advances</t>
  </si>
  <si>
    <t xml:space="preserve">       1  Investments in related parties</t>
  </si>
  <si>
    <t xml:space="preserve">       2  Loans granted to related parties</t>
  </si>
  <si>
    <t xml:space="preserve">       3  Equity investment</t>
  </si>
  <si>
    <t xml:space="preserve">       4  Loans granted to associated entities and jointly controlled entities</t>
  </si>
  <si>
    <t xml:space="preserve">       5  Other fixed assets</t>
  </si>
  <si>
    <t xml:space="preserve">       6  Other loans</t>
  </si>
  <si>
    <t xml:space="preserve">       1  Raw materials and consumables</t>
  </si>
  <si>
    <t xml:space="preserve">       2  Production in progress</t>
  </si>
  <si>
    <t xml:space="preserve">       3  Finished goods and commodities</t>
  </si>
  <si>
    <t xml:space="preserve">       4  Advances</t>
  </si>
  <si>
    <t xml:space="preserve">       1  Trade receivables</t>
  </si>
  <si>
    <t xml:space="preserve">       2  Receivables from affiliated entities</t>
  </si>
  <si>
    <t xml:space="preserve">       3  Receivables from associated entities and jointly controlled entities</t>
  </si>
  <si>
    <t xml:space="preserve">       4  Other receivables</t>
  </si>
  <si>
    <t xml:space="preserve">       5  Subscribed and not paid capital</t>
  </si>
  <si>
    <t xml:space="preserve">       6 Dividends receivables for interim distributions</t>
  </si>
  <si>
    <t xml:space="preserve">       1  Shares owned in affiliated entities</t>
  </si>
  <si>
    <t xml:space="preserve">       2  Other short-term investments</t>
  </si>
  <si>
    <t xml:space="preserve">       1  Loans from the issue of bonds; the issue of convertible bonds shall be disclosed separately</t>
  </si>
  <si>
    <t xml:space="preserve">       2  Amounts owed to credit institutions</t>
  </si>
  <si>
    <t xml:space="preserve">       3 Advances received for the orders</t>
  </si>
  <si>
    <t xml:space="preserve">       4  Trade payables - suppliers</t>
  </si>
  <si>
    <t xml:space="preserve">       5  Bills of exchange payable</t>
  </si>
  <si>
    <t xml:space="preserve">       6  Amounts owed to affiliated entities</t>
  </si>
  <si>
    <t xml:space="preserve">       7  Amounts owed to associated entities and jointly controlled entities</t>
  </si>
  <si>
    <t xml:space="preserve">       8  Other debts, including fiscal debts and debts related to social securities</t>
  </si>
  <si>
    <t xml:space="preserve">       1  Provisions for employee benefits</t>
  </si>
  <si>
    <t xml:space="preserve">       2  Provisions for taxes</t>
  </si>
  <si>
    <t xml:space="preserve">       3  Other provisions</t>
  </si>
  <si>
    <t xml:space="preserve">       1   Investment subsidies</t>
  </si>
  <si>
    <t xml:space="preserve">       2   Deferred income</t>
  </si>
  <si>
    <t xml:space="preserve">       3   Deferred revenues from assets received from transfer from clients</t>
  </si>
  <si>
    <t xml:space="preserve">       1    Subscribed and paid up share capital</t>
  </si>
  <si>
    <t xml:space="preserve">       2    Subscribed and not paid share capital</t>
  </si>
  <si>
    <t xml:space="preserve">       3   Patrimony (autonomus companies)</t>
  </si>
  <si>
    <t xml:space="preserve">       4   Patrimony of national institutions for research and development</t>
  </si>
  <si>
    <t xml:space="preserve">       5   Other equity elements</t>
  </si>
  <si>
    <t xml:space="preserve">       1  Legal reserves</t>
  </si>
  <si>
    <t xml:space="preserve">       2  Statutory or contractual capital reserve</t>
  </si>
  <si>
    <t xml:space="preserve">       3  Other reserves</t>
  </si>
  <si>
    <t>FY22</t>
  </si>
  <si>
    <t>Steinbeis Version in €</t>
  </si>
  <si>
    <t>1.       Cifra de afaceri neta (rd. 03 + 04 - 05 + 06)</t>
  </si>
  <si>
    <t>- din care cifra de afaceri neta corespunzatoare activitatii preponderente efectiv desfasurate</t>
  </si>
  <si>
    <t>- din care cifra de afaceri netă realizată din operațiuni desfășurate
pe teritoriul național</t>
  </si>
  <si>
    <t>2b</t>
  </si>
  <si>
    <t xml:space="preserve">         Productia vanduta (ct 701 + 702 + 703 + 704 + 705 + 706 + 708 )</t>
  </si>
  <si>
    <t xml:space="preserve">         Venituri din vanzarea marfurilor (ct 707 ) </t>
  </si>
  <si>
    <t xml:space="preserve">         Reduceri comerciale acordate (ct 709)</t>
  </si>
  <si>
    <t xml:space="preserve">         Venituri din subventii de exploatare aferente cifrei de afaceri nete (ct 7411)</t>
  </si>
  <si>
    <t>2. Venituri aferente costului productiei in curs de executie(ct 711+712)   - Sold C</t>
  </si>
  <si>
    <t>Venituri aferente costului productiei in curs de executie(ct 711+712)   - Sold D</t>
  </si>
  <si>
    <t>3.       Venituri din productia de imobilizari necorporale si corporale (ct 721 + 722)</t>
  </si>
  <si>
    <t>4.      Venituri din reevaluarea imobilizarilor corporale (ct 755)</t>
  </si>
  <si>
    <t>5.      Venituri din productia de investitii imobiliare (ct 725)</t>
  </si>
  <si>
    <t>6.    Venituri din subventii de exploatare (ct 7412 + 7413 + 7414 + 7415 +7416 + 7417 + 7419)</t>
  </si>
  <si>
    <t>7.       Alte venituri din exploatare (ct 751 + 758 + 7815)</t>
  </si>
  <si>
    <t xml:space="preserve">             - din care, venituri din subventii pentru investitii (ct 7584)</t>
  </si>
  <si>
    <t xml:space="preserve">             - din care, venituri din fondul comercial negativ (ct 7815)</t>
  </si>
  <si>
    <t xml:space="preserve">         VENITURI DIN EXPLOATARE - TOTAL
           (rd. 01+07-08+09+10+11+12+13)</t>
  </si>
  <si>
    <t>8.       a) Cheltuieli cu materiile prime si materialele consumabile (ct 601 + 602)</t>
  </si>
  <si>
    <t xml:space="preserve">         Alte cheltuieli materiale (ct 603 + 604 + 606 + 608)</t>
  </si>
  <si>
    <t xml:space="preserve">         b) Alte cheltuieli externe (cu energie si apa) (ct 605)</t>
  </si>
  <si>
    <t>din care, cheltuieli privind consumul de energie(ct.6051)</t>
  </si>
  <si>
    <t>din care, cheltuieli privind consumul de gaze naturale(ct.6053)</t>
  </si>
  <si>
    <t xml:space="preserve">         c) Cheltuieli privind marfurile (ct 607)</t>
  </si>
  <si>
    <t xml:space="preserve">         Reduceri comerciale primite (ct 609)</t>
  </si>
  <si>
    <t>9.       Cheltuieli cu personalul (rd. 25+26)</t>
  </si>
  <si>
    <t xml:space="preserve">         a) Salarii si indemnizatii (ct 641 + 642 + 643 + 644)</t>
  </si>
  <si>
    <t xml:space="preserve">         b) Cheltuieli cu asigurarile si protectia sociala (ct 645+646)</t>
  </si>
  <si>
    <t>10.       a) Ajustari de valoare privind imobilizarile corporale si necorporale
            (rd. 28+-29-30)</t>
  </si>
  <si>
    <t xml:space="preserve">         a. 1) Cheltuieli de exploatare privind amortizarea imobilizarilor (ct. 6811)</t>
  </si>
  <si>
    <t xml:space="preserve">         a. 2) Alte cheltuieli (ct 6813 + 6817+ din ct 6818)</t>
  </si>
  <si>
    <t xml:space="preserve">         a. 3) Venituri (ct 7813+ din ct.7818)</t>
  </si>
  <si>
    <t xml:space="preserve">        b) Ajustari de valoare privind activele circulante (rd. 31-32)</t>
  </si>
  <si>
    <t xml:space="preserve">         b. 1) Cheltuieli (ct 654 + 6814 + din ct.6818)</t>
  </si>
  <si>
    <t xml:space="preserve">         b. 2) Venituri (ct 754 + 7814+ din ct.7818)</t>
  </si>
  <si>
    <t>11.       Alte cheltuieli de exploatare (rd. 35 + 36 + 40 + 42 + 44 + 46 + 47 + 48 + 49 + 50)</t>
  </si>
  <si>
    <t xml:space="preserve">        11.1. Cheltuieli privind prestatiile externe (ct 611 + 613 + 614 + 615 + 621 + 622 + 623 + 624 + 625 + 626 + 627 + 628)</t>
  </si>
  <si>
    <t xml:space="preserve">        11.2. Cheltuieli cu redeventele, locatiile de gestiune si chiriile (ct 612)</t>
  </si>
  <si>
    <t xml:space="preserve">        - cheltuieli cu redevente (ct. 6121)</t>
  </si>
  <si>
    <t xml:space="preserve">        - cheltuieli cu locațiile de gestiune (ct. 6122)</t>
  </si>
  <si>
    <t xml:space="preserve">        - cheltuieli cu chiriile (ct. 6123)</t>
  </si>
  <si>
    <t xml:space="preserve">        11.3. Cheltuieli aferente drepturilor de proprietate intelectuala (ct. 616)</t>
  </si>
  <si>
    <t xml:space="preserve">          - din care, cheltuieli in relatia cu entitatile afiliate</t>
  </si>
  <si>
    <t xml:space="preserve">        11.4. Cheltuieli de management (ct. 617)</t>
  </si>
  <si>
    <t xml:space="preserve">        11.5. Cheltuieli de consultanta (ct. 618)</t>
  </si>
  <si>
    <t xml:space="preserve">        11.6. Cheltuieli cu alte impozite, taxe si varsaminte asimilate; cheltuieli reprezentand transferuri si contributii datorate in baza unor acte normative speciale (ct. 635 + 6586*)</t>
  </si>
  <si>
    <t xml:space="preserve">        11.7. Cheltuieli cu protectia mediului inconjurator (ct 652)</t>
  </si>
  <si>
    <t xml:space="preserve">        11.8. Cheltuieli din reevaluarea imobilizarilor corporale (ct 655)</t>
  </si>
  <si>
    <t xml:space="preserve">        11.9. Cheltuieli privind calamitatile si alte evenimente similare (ct 6587)</t>
  </si>
  <si>
    <t xml:space="preserve">        11.10. Alte cheltuieli (ct 651 + 6581 + 6582 + 6583 +6584+ 6588)</t>
  </si>
  <si>
    <t>12.         Ajustari privind provizioanele (rd. 52-53)</t>
  </si>
  <si>
    <t xml:space="preserve">         - Cheltuieli (ct 6812)</t>
  </si>
  <si>
    <t xml:space="preserve">         - Venituri (ct 7812)</t>
  </si>
  <si>
    <t>CHELTUIELI DE EXPLOATARE - TOTAL
           (rd. 17 + 18 + 19 + 22 – 23 + 24 + 27 + 31 + 34 + 51)</t>
  </si>
  <si>
    <t>PROFITUL SAU PIERDEREA DIN EXPLOATARE</t>
  </si>
  <si>
    <t xml:space="preserve">         - Profit (rd. 16 - 54)</t>
  </si>
  <si>
    <t xml:space="preserve">         - Pierdere (rd. 54 - 16)</t>
  </si>
  <si>
    <t>13.      Venituri din interese de participare (ct 7611 + 7612 + 7613)</t>
  </si>
  <si>
    <t xml:space="preserve">             - din care, veniturile obtinute de la entitati afiliate</t>
  </si>
  <si>
    <t>14.      Venituri din dobanzi (ct 766)</t>
  </si>
  <si>
    <t>15.       Venituri din subventii de exploatare pentru dobanda datorata (ct 7418)</t>
  </si>
  <si>
    <t>16.       Alte venituri financiare (ct 7615 + 762 + 764 + 765 + 767 + 768)</t>
  </si>
  <si>
    <t xml:space="preserve">             - din care, venituri din imobilizari financiare (ct 7615)</t>
  </si>
  <si>
    <t>VENITURI FINANCIARE - TOTAL (rd. 57 + 59 + 61 + 62)</t>
  </si>
  <si>
    <t>17.      Ajustari de valoare privind imobilizarile financiare si investitiile detinute ca active circulante (rd. 66-67)</t>
  </si>
  <si>
    <t xml:space="preserve">             - Cheltuieli (ct 686)</t>
  </si>
  <si>
    <t xml:space="preserve">             - Venituri (ct 786)</t>
  </si>
  <si>
    <t>18.     Cheltuieli privind dobanzile (ct 666*)</t>
  </si>
  <si>
    <t xml:space="preserve">             - din care, cheltuieli in relatie cu entitati afiliate</t>
  </si>
  <si>
    <t>19.        Alte cheltuieli financiare (ct 663 + 664 + 665 + 667 + 668)</t>
  </si>
  <si>
    <t>CHELTUIELI FINANCIARE - TOTAL (rd. 65 + 68 + 70)</t>
  </si>
  <si>
    <t xml:space="preserve">         - Profit (rd. 64 – 71)</t>
  </si>
  <si>
    <t xml:space="preserve">         - Pierdere (rd. 71 – 64)</t>
  </si>
  <si>
    <t>VENITURI TOTALE (rd 16 + 64)</t>
  </si>
  <si>
    <t>CHELTUIELI TOTALE (rd 54 + 71)</t>
  </si>
  <si>
    <t>PROFITUL SAU PIERDEREA BRUT(A)</t>
  </si>
  <si>
    <t xml:space="preserve">         - Profit (rd. 74 - 75)</t>
  </si>
  <si>
    <t xml:space="preserve">         - Pierdere (rd. 75 - 74)</t>
  </si>
  <si>
    <t>20.      IMPOZITUL PE PROFIT (ct 691)</t>
  </si>
  <si>
    <t>21. Cheltuieli cu impozitul pe profit, respectiv impozitul pe profit la nivelul
impozitului minim pe cifra de afaceri, rezultat din decontările în cadrul
grupului fiscal în domeniul impozitului pe profit(ct.694)</t>
  </si>
  <si>
    <t>22. Venituri din impozitul pe profit rezultat din decontarule in cadrul grupului fiscal in domeniul impozitului pe profit (ct. 794)</t>
  </si>
  <si>
    <t>23.     Cheltuieli cu impozitul pe profit la nivelul impozitului minim pe cifra de afaceri (ct 697)</t>
  </si>
  <si>
    <t>24.      Alte impozite neprezentate la elementele de mai sus (ct 698)</t>
  </si>
  <si>
    <t xml:space="preserve">  PROFITUL SAU PIERDEREA NET(Ă) A EXERCIŢIULUI FINANCIAR:
       - Profit (rd. 76 – 78 – 79 – 81 – 82 + 80)</t>
  </si>
  <si>
    <t xml:space="preserve">        - Pierdere (rd. 77 + 78 + 79 + 81 + 82 - 80);
                            (rd. 78 + 79 + 81 + 82 – 76 – 80)</t>
  </si>
  <si>
    <t>Rezultatul Exercitiului B/S (rd 98 - rd 99)</t>
  </si>
  <si>
    <t>Profit/loss B/S (row 98 - row 99)</t>
  </si>
  <si>
    <t>Rezultatul Exercitiului P&amp;L (rd 69 - rd 70)</t>
  </si>
  <si>
    <t>Profit/loss P&amp;L (rd 68 - rd 69)</t>
  </si>
  <si>
    <t>FY 23</t>
  </si>
  <si>
    <t>FY 24</t>
  </si>
  <si>
    <t>Original Version</t>
  </si>
  <si>
    <t>in 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</si>
</sst>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_(* #,##0.00_);_(* \(#,##0.00\);_(* &quot;-&quot;??_);_(@_)"/>
    <numFmt numFmtId="165" formatCode="_(* #,##0_);_(* \(#,##0\);_(* &quot;-&quot;_);_(@_)"/>
    <numFmt numFmtId="166" formatCode="[$-409]mmmm\ d\,\ yyyy;@"/>
    <numFmt numFmtId="167" formatCode="0.0%"/>
    <numFmt numFmtId="168" formatCode="_(* #,##0_);_(* \(#,##0\);_(* &quot;-&quot;??_);_(@_)"/>
  </numFmts>
  <fonts count="28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8"/>
      <color theme="0"/>
      <name val="Arial"/>
      <family val="2"/>
    </font>
    <font>
      <b/>
      <sz val="9"/>
      <color theme="1"/>
      <name val="Calibri"/>
      <family val="2"/>
    </font>
    <font>
      <i/>
      <sz val="10"/>
      <color theme="1"/>
      <name val="Calibri"/>
      <family val="2"/>
      <scheme val="minor"/>
    </font>
    <font>
      <sz val="6"/>
      <name val="Arial"/>
      <family val="2"/>
    </font>
    <font>
      <b/>
      <sz val="11"/>
      <color theme="1"/>
      <name val="Calibri"/>
      <family val="2"/>
      <scheme val="minor"/>
    </font>
    <font>
      <i/>
      <sz val="8"/>
      <name val="Arial"/>
      <family val="2"/>
    </font>
    <font>
      <i/>
      <sz val="6"/>
      <name val="Arial"/>
      <family val="2"/>
    </font>
    <font>
      <b/>
      <i/>
      <sz val="8"/>
      <name val="Arial"/>
      <family val="2"/>
    </font>
    <font>
      <i/>
      <sz val="11"/>
      <color theme="1"/>
      <name val="Calibri"/>
      <family val="2"/>
      <scheme val="minor"/>
    </font>
    <font>
      <b/>
      <i/>
      <sz val="8"/>
      <color theme="0"/>
      <name val="Arial"/>
      <family val="2"/>
    </font>
    <font>
      <i/>
      <sz val="8"/>
      <color rgb="FF00B050"/>
      <name val="Arial"/>
      <family val="2"/>
    </font>
    <font>
      <i/>
      <sz val="8"/>
      <color rgb="FFFF0000"/>
      <name val="Arial"/>
      <family val="2"/>
    </font>
    <font>
      <sz val="11"/>
      <color theme="1"/>
      <name val="Calibri"/>
      <family val="2"/>
      <scheme val="minor"/>
    </font>
    <font>
      <sz val="8"/>
      <color rgb="FFFF0000"/>
      <name val="Calibri"/>
      <family val="2"/>
      <scheme val="minor"/>
    </font>
    <font>
      <sz val="8"/>
      <color rgb="FFFF0000"/>
      <name val="Arial"/>
      <family val="2"/>
    </font>
    <font>
      <b/>
      <sz val="8"/>
      <color rgb="FF00B050"/>
      <name val="Arial"/>
      <family val="2"/>
    </font>
    <font>
      <sz val="8"/>
      <color theme="1"/>
      <name val="Arial"/>
      <family val="2"/>
    </font>
    <font>
      <b/>
      <sz val="8"/>
      <color rgb="FF0070C0"/>
      <name val="Arial"/>
      <family val="2"/>
    </font>
    <font>
      <b/>
      <sz val="8"/>
      <color rgb="FFFF0000"/>
      <name val="Arial"/>
      <family val="2"/>
    </font>
    <font>
      <b/>
      <sz val="10"/>
      <color theme="0"/>
      <name val="Arial"/>
      <family val="2"/>
    </font>
    <font>
      <sz val="8"/>
      <color theme="1"/>
      <name val="Calibri"/>
      <family val="2"/>
      <scheme val="minor"/>
    </font>
    <font>
      <b/>
      <sz val="8"/>
      <color theme="0"/>
      <name val="Calibri"/>
      <family val="2"/>
      <scheme val="minor"/>
    </font>
    <font>
      <b/>
      <sz val="8"/>
      <color theme="1"/>
      <name val="Calibri"/>
      <family val="2"/>
    </font>
    <font>
      <b/>
      <sz val="8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2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/>
      <right style="thin">
        <color theme="1"/>
      </right>
      <top/>
      <bottom style="medium">
        <color indexed="64"/>
      </bottom>
      <diagonal/>
    </border>
    <border>
      <left/>
      <right style="thin">
        <color theme="1"/>
      </right>
      <top/>
      <bottom/>
      <diagonal/>
    </border>
    <border>
      <left/>
      <right style="thin">
        <color theme="1"/>
      </right>
      <top style="thin">
        <color indexed="64"/>
      </top>
      <bottom style="medium">
        <color indexed="64"/>
      </bottom>
      <diagonal/>
    </border>
    <border>
      <left/>
      <right style="thin">
        <color theme="1"/>
      </right>
      <top/>
      <bottom style="thin">
        <color indexed="64"/>
      </bottom>
      <diagonal/>
    </border>
    <border>
      <left style="thin">
        <color theme="1"/>
      </left>
      <right/>
      <top/>
      <bottom style="medium">
        <color indexed="64"/>
      </bottom>
      <diagonal/>
    </border>
    <border>
      <left style="thin">
        <color theme="1"/>
      </left>
      <right/>
      <top/>
      <bottom/>
      <diagonal/>
    </border>
    <border>
      <left style="thin">
        <color theme="1"/>
      </left>
      <right/>
      <top style="thin">
        <color indexed="64"/>
      </top>
      <bottom style="medium">
        <color indexed="64"/>
      </bottom>
      <diagonal/>
    </border>
    <border>
      <left style="thin">
        <color theme="1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theme="1"/>
      </right>
      <top style="thin">
        <color indexed="64"/>
      </top>
      <bottom/>
      <diagonal/>
    </border>
    <border>
      <left style="thin">
        <color theme="1"/>
      </left>
      <right/>
      <top style="thin">
        <color indexed="64"/>
      </top>
      <bottom/>
      <diagonal/>
    </border>
  </borders>
  <cellStyleXfs count="6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9" fontId="16" fillId="0" borderId="0" applyFont="0" applyFill="0" applyBorder="0" applyAlignment="0" applyProtection="0"/>
    <xf numFmtId="43" fontId="16" fillId="0" borderId="0" applyFont="0" applyFill="0" applyBorder="0" applyAlignment="0" applyProtection="0"/>
  </cellStyleXfs>
  <cellXfs count="207">
    <xf numFmtId="0" fontId="0" fillId="0" borderId="0" xfId="0"/>
    <xf numFmtId="0" fontId="2" fillId="2" borderId="0" xfId="1" applyFont="1" applyFill="1" applyAlignment="1">
      <alignment vertical="center"/>
    </xf>
    <xf numFmtId="0" fontId="3" fillId="3" borderId="0" xfId="0" applyFont="1" applyFill="1" applyAlignment="1">
      <alignment horizontal="left" vertical="top"/>
    </xf>
    <xf numFmtId="0" fontId="2" fillId="0" borderId="0" xfId="1" applyFont="1" applyAlignment="1">
      <alignment vertic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2" fillId="0" borderId="0" xfId="0" applyFont="1" applyAlignment="1">
      <alignment horizontal="right" vertical="center" wrapText="1"/>
    </xf>
    <xf numFmtId="0" fontId="4" fillId="4" borderId="0" xfId="2" applyFont="1" applyFill="1" applyAlignment="1">
      <alignment horizontal="left" vertical="top" wrapText="1"/>
    </xf>
    <xf numFmtId="0" fontId="4" fillId="4" borderId="0" xfId="2" applyFont="1" applyFill="1" applyAlignment="1">
      <alignment horizontal="center" vertical="top" wrapText="1"/>
    </xf>
    <xf numFmtId="165" fontId="3" fillId="0" borderId="0" xfId="3" applyNumberFormat="1" applyFont="1" applyFill="1" applyBorder="1" applyAlignment="1">
      <alignment vertical="center"/>
    </xf>
    <xf numFmtId="0" fontId="2" fillId="0" borderId="0" xfId="0" applyFont="1" applyAlignment="1">
      <alignment horizontal="left" vertical="center" wrapText="1"/>
    </xf>
    <xf numFmtId="165" fontId="2" fillId="0" borderId="1" xfId="3" applyNumberFormat="1" applyFont="1" applyFill="1" applyBorder="1" applyAlignment="1">
      <alignment vertical="center"/>
    </xf>
    <xf numFmtId="0" fontId="2" fillId="0" borderId="0" xfId="0" quotePrefix="1" applyFont="1" applyAlignment="1">
      <alignment horizontal="left" vertical="center" wrapText="1"/>
    </xf>
    <xf numFmtId="165" fontId="2" fillId="0" borderId="0" xfId="3" applyNumberFormat="1" applyFont="1" applyFill="1" applyBorder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vertical="center"/>
    </xf>
    <xf numFmtId="165" fontId="3" fillId="0" borderId="2" xfId="3" applyNumberFormat="1" applyFont="1" applyFill="1" applyBorder="1" applyAlignment="1">
      <alignment vertical="center"/>
    </xf>
    <xf numFmtId="0" fontId="5" fillId="0" borderId="0" xfId="0" applyFont="1"/>
    <xf numFmtId="165" fontId="2" fillId="0" borderId="0" xfId="0" applyNumberFormat="1" applyFont="1" applyAlignment="1">
      <alignment vertical="center"/>
    </xf>
    <xf numFmtId="165" fontId="2" fillId="0" borderId="2" xfId="3" applyNumberFormat="1" applyFont="1" applyFill="1" applyBorder="1" applyAlignment="1">
      <alignment vertical="center"/>
    </xf>
    <xf numFmtId="0" fontId="2" fillId="3" borderId="0" xfId="1" applyFont="1" applyFill="1" applyAlignment="1">
      <alignment vertical="center"/>
    </xf>
    <xf numFmtId="165" fontId="3" fillId="0" borderId="3" xfId="3" applyNumberFormat="1" applyFont="1" applyFill="1" applyBorder="1" applyAlignment="1">
      <alignment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Continuous" vertical="center" wrapText="1"/>
    </xf>
    <xf numFmtId="166" fontId="3" fillId="0" borderId="0" xfId="0" applyNumberFormat="1" applyFont="1" applyAlignment="1">
      <alignment horizontal="center" vertical="center" wrapText="1"/>
    </xf>
    <xf numFmtId="165" fontId="2" fillId="0" borderId="0" xfId="3" applyNumberFormat="1" applyFont="1" applyFill="1" applyAlignment="1">
      <alignment horizontal="right" vertical="center"/>
    </xf>
    <xf numFmtId="165" fontId="2" fillId="0" borderId="2" xfId="3" applyNumberFormat="1" applyFont="1" applyFill="1" applyBorder="1" applyAlignment="1">
      <alignment horizontal="right" vertical="center"/>
    </xf>
    <xf numFmtId="165" fontId="2" fillId="0" borderId="0" xfId="3" applyNumberFormat="1" applyFont="1" applyFill="1" applyBorder="1" applyAlignment="1">
      <alignment horizontal="right" vertical="center"/>
    </xf>
    <xf numFmtId="0" fontId="2" fillId="0" borderId="0" xfId="0" applyFont="1" applyAlignment="1">
      <alignment vertical="center" wrapText="1"/>
    </xf>
    <xf numFmtId="165" fontId="3" fillId="0" borderId="0" xfId="3" applyNumberFormat="1" applyFont="1" applyFill="1" applyBorder="1" applyAlignment="1">
      <alignment horizontal="right" vertical="center"/>
    </xf>
    <xf numFmtId="165" fontId="2" fillId="0" borderId="1" xfId="3" applyNumberFormat="1" applyFont="1" applyFill="1" applyBorder="1" applyAlignment="1">
      <alignment horizontal="right" vertical="center"/>
    </xf>
    <xf numFmtId="165" fontId="3" fillId="0" borderId="0" xfId="3" applyNumberFormat="1" applyFont="1" applyFill="1" applyAlignment="1">
      <alignment horizontal="right" vertical="center"/>
    </xf>
    <xf numFmtId="0" fontId="3" fillId="0" borderId="0" xfId="0" applyFont="1" applyAlignment="1">
      <alignment vertical="center"/>
    </xf>
    <xf numFmtId="0" fontId="0" fillId="0" borderId="0" xfId="0" applyAlignment="1">
      <alignment horizontal="center"/>
    </xf>
    <xf numFmtId="14" fontId="6" fillId="0" borderId="0" xfId="0" applyNumberFormat="1" applyFont="1" applyAlignment="1">
      <alignment horizontal="center"/>
    </xf>
    <xf numFmtId="0" fontId="7" fillId="0" borderId="0" xfId="1" applyFont="1" applyAlignment="1">
      <alignment vertical="center"/>
    </xf>
    <xf numFmtId="167" fontId="2" fillId="0" borderId="0" xfId="1" applyNumberFormat="1" applyFont="1" applyAlignment="1">
      <alignment vertical="center"/>
    </xf>
    <xf numFmtId="167" fontId="6" fillId="0" borderId="0" xfId="0" applyNumberFormat="1" applyFont="1" applyAlignment="1">
      <alignment horizontal="center"/>
    </xf>
    <xf numFmtId="167" fontId="4" fillId="4" borderId="0" xfId="2" applyNumberFormat="1" applyFont="1" applyFill="1" applyAlignment="1">
      <alignment horizontal="center" vertical="top" wrapText="1"/>
    </xf>
    <xf numFmtId="165" fontId="3" fillId="0" borderId="4" xfId="3" applyNumberFormat="1" applyFont="1" applyFill="1" applyBorder="1" applyAlignment="1">
      <alignment vertical="center"/>
    </xf>
    <xf numFmtId="165" fontId="2" fillId="0" borderId="5" xfId="3" applyNumberFormat="1" applyFont="1" applyFill="1" applyBorder="1" applyAlignment="1">
      <alignment vertical="center"/>
    </xf>
    <xf numFmtId="165" fontId="2" fillId="0" borderId="4" xfId="3" applyNumberFormat="1" applyFont="1" applyFill="1" applyBorder="1" applyAlignment="1">
      <alignment vertical="center"/>
    </xf>
    <xf numFmtId="165" fontId="3" fillId="0" borderId="6" xfId="3" applyNumberFormat="1" applyFont="1" applyFill="1" applyBorder="1" applyAlignment="1">
      <alignment vertical="center"/>
    </xf>
    <xf numFmtId="165" fontId="2" fillId="0" borderId="4" xfId="0" applyNumberFormat="1" applyFont="1" applyBorder="1" applyAlignment="1">
      <alignment vertical="center"/>
    </xf>
    <xf numFmtId="165" fontId="2" fillId="0" borderId="6" xfId="3" applyNumberFormat="1" applyFont="1" applyFill="1" applyBorder="1" applyAlignment="1">
      <alignment vertical="center"/>
    </xf>
    <xf numFmtId="167" fontId="9" fillId="2" borderId="0" xfId="1" applyNumberFormat="1" applyFont="1" applyFill="1" applyAlignment="1">
      <alignment vertical="center"/>
    </xf>
    <xf numFmtId="167" fontId="10" fillId="0" borderId="0" xfId="1" applyNumberFormat="1" applyFont="1" applyAlignment="1">
      <alignment vertical="center"/>
    </xf>
    <xf numFmtId="167" fontId="11" fillId="0" borderId="0" xfId="0" applyNumberFormat="1" applyFont="1" applyAlignment="1">
      <alignment horizontal="center" vertical="center" wrapText="1"/>
    </xf>
    <xf numFmtId="167" fontId="12" fillId="0" borderId="0" xfId="0" applyNumberFormat="1" applyFont="1" applyAlignment="1">
      <alignment horizontal="center"/>
    </xf>
    <xf numFmtId="167" fontId="9" fillId="0" borderId="0" xfId="0" applyNumberFormat="1" applyFont="1" applyAlignment="1">
      <alignment horizontal="right" vertical="center" wrapText="1"/>
    </xf>
    <xf numFmtId="167" fontId="11" fillId="0" borderId="0" xfId="3" applyNumberFormat="1" applyFont="1" applyFill="1" applyBorder="1" applyAlignment="1">
      <alignment vertical="center"/>
    </xf>
    <xf numFmtId="167" fontId="9" fillId="0" borderId="1" xfId="3" applyNumberFormat="1" applyFont="1" applyFill="1" applyBorder="1" applyAlignment="1">
      <alignment vertical="center"/>
    </xf>
    <xf numFmtId="167" fontId="9" fillId="0" borderId="0" xfId="1" applyNumberFormat="1" applyFont="1" applyAlignment="1">
      <alignment vertical="center"/>
    </xf>
    <xf numFmtId="167" fontId="9" fillId="0" borderId="0" xfId="3" applyNumberFormat="1" applyFont="1" applyFill="1" applyBorder="1" applyAlignment="1">
      <alignment vertical="center"/>
    </xf>
    <xf numFmtId="167" fontId="11" fillId="0" borderId="2" xfId="3" applyNumberFormat="1" applyFont="1" applyFill="1" applyBorder="1" applyAlignment="1">
      <alignment vertical="center"/>
    </xf>
    <xf numFmtId="167" fontId="9" fillId="0" borderId="0" xfId="0" applyNumberFormat="1" applyFont="1" applyAlignment="1">
      <alignment vertical="center"/>
    </xf>
    <xf numFmtId="167" fontId="9" fillId="0" borderId="2" xfId="3" applyNumberFormat="1" applyFont="1" applyFill="1" applyBorder="1" applyAlignment="1">
      <alignment vertical="center"/>
    </xf>
    <xf numFmtId="167" fontId="11" fillId="0" borderId="3" xfId="3" applyNumberFormat="1" applyFont="1" applyFill="1" applyBorder="1" applyAlignment="1">
      <alignment vertical="center"/>
    </xf>
    <xf numFmtId="0" fontId="3" fillId="0" borderId="4" xfId="0" applyFont="1" applyBorder="1" applyAlignment="1">
      <alignment horizontal="center" vertical="center" wrapText="1"/>
    </xf>
    <xf numFmtId="14" fontId="6" fillId="0" borderId="4" xfId="0" applyNumberFormat="1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right" vertical="center" wrapText="1"/>
    </xf>
    <xf numFmtId="167" fontId="13" fillId="4" borderId="7" xfId="2" applyNumberFormat="1" applyFont="1" applyFill="1" applyBorder="1" applyAlignment="1">
      <alignment horizontal="center" vertical="top" wrapText="1"/>
    </xf>
    <xf numFmtId="0" fontId="14" fillId="0" borderId="0" xfId="0" applyFont="1" applyAlignment="1">
      <alignment horizontal="right" vertical="center" wrapText="1"/>
    </xf>
    <xf numFmtId="167" fontId="15" fillId="0" borderId="4" xfId="3" applyNumberFormat="1" applyFont="1" applyFill="1" applyBorder="1" applyAlignment="1">
      <alignment vertical="center"/>
    </xf>
    <xf numFmtId="165" fontId="2" fillId="0" borderId="0" xfId="1" applyNumberFormat="1" applyFont="1" applyAlignment="1">
      <alignment vertical="center"/>
    </xf>
    <xf numFmtId="167" fontId="11" fillId="5" borderId="2" xfId="3" applyNumberFormat="1" applyFont="1" applyFill="1" applyBorder="1" applyAlignment="1">
      <alignment vertical="center"/>
    </xf>
    <xf numFmtId="165" fontId="3" fillId="5" borderId="6" xfId="3" applyNumberFormat="1" applyFont="1" applyFill="1" applyBorder="1" applyAlignment="1">
      <alignment vertical="center"/>
    </xf>
    <xf numFmtId="167" fontId="11" fillId="5" borderId="0" xfId="3" applyNumberFormat="1" applyFont="1" applyFill="1" applyBorder="1" applyAlignment="1">
      <alignment vertical="center"/>
    </xf>
    <xf numFmtId="0" fontId="4" fillId="4" borderId="8" xfId="2" applyFont="1" applyFill="1" applyBorder="1" applyAlignment="1">
      <alignment horizontal="center" vertical="top" wrapText="1"/>
    </xf>
    <xf numFmtId="166" fontId="3" fillId="0" borderId="14" xfId="0" applyNumberFormat="1" applyFont="1" applyBorder="1" applyAlignment="1">
      <alignment horizontal="center" vertical="center" wrapText="1"/>
    </xf>
    <xf numFmtId="165" fontId="2" fillId="0" borderId="14" xfId="3" applyNumberFormat="1" applyFont="1" applyFill="1" applyBorder="1" applyAlignment="1">
      <alignment horizontal="right" vertical="center"/>
    </xf>
    <xf numFmtId="165" fontId="2" fillId="0" borderId="15" xfId="3" applyNumberFormat="1" applyFont="1" applyFill="1" applyBorder="1" applyAlignment="1">
      <alignment horizontal="right" vertical="center"/>
    </xf>
    <xf numFmtId="165" fontId="3" fillId="0" borderId="14" xfId="3" applyNumberFormat="1" applyFont="1" applyFill="1" applyBorder="1" applyAlignment="1">
      <alignment horizontal="right" vertical="center"/>
    </xf>
    <xf numFmtId="165" fontId="2" fillId="0" borderId="16" xfId="3" applyNumberFormat="1" applyFont="1" applyFill="1" applyBorder="1" applyAlignment="1">
      <alignment horizontal="right" vertical="center"/>
    </xf>
    <xf numFmtId="167" fontId="2" fillId="0" borderId="10" xfId="3" applyNumberFormat="1" applyFont="1" applyFill="1" applyBorder="1" applyAlignment="1">
      <alignment horizontal="right" vertical="center"/>
    </xf>
    <xf numFmtId="167" fontId="9" fillId="0" borderId="10" xfId="3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horizontal="left" vertical="center" wrapText="1"/>
    </xf>
    <xf numFmtId="165" fontId="3" fillId="6" borderId="17" xfId="3" applyNumberFormat="1" applyFont="1" applyFill="1" applyBorder="1" applyAlignment="1">
      <alignment horizontal="right" vertical="center"/>
    </xf>
    <xf numFmtId="165" fontId="3" fillId="6" borderId="19" xfId="3" applyNumberFormat="1" applyFont="1" applyFill="1" applyBorder="1" applyAlignment="1">
      <alignment horizontal="right" vertical="center"/>
    </xf>
    <xf numFmtId="165" fontId="3" fillId="6" borderId="2" xfId="3" applyNumberFormat="1" applyFont="1" applyFill="1" applyBorder="1" applyAlignment="1">
      <alignment horizontal="right" vertical="center"/>
    </xf>
    <xf numFmtId="165" fontId="3" fillId="6" borderId="15" xfId="3" applyNumberFormat="1" applyFont="1" applyFill="1" applyBorder="1" applyAlignment="1">
      <alignment horizontal="right" vertical="center"/>
    </xf>
    <xf numFmtId="165" fontId="3" fillId="6" borderId="0" xfId="3" applyNumberFormat="1" applyFont="1" applyFill="1" applyBorder="1" applyAlignment="1">
      <alignment horizontal="right" vertical="center"/>
    </xf>
    <xf numFmtId="165" fontId="3" fillId="6" borderId="14" xfId="3" applyNumberFormat="1" applyFont="1" applyFill="1" applyBorder="1" applyAlignment="1">
      <alignment horizontal="right" vertical="center"/>
    </xf>
    <xf numFmtId="165" fontId="3" fillId="6" borderId="3" xfId="3" applyNumberFormat="1" applyFont="1" applyFill="1" applyBorder="1" applyAlignment="1">
      <alignment horizontal="right" vertical="center"/>
    </xf>
    <xf numFmtId="165" fontId="3" fillId="6" borderId="13" xfId="3" applyNumberFormat="1" applyFont="1" applyFill="1" applyBorder="1" applyAlignment="1">
      <alignment horizontal="right" vertical="center"/>
    </xf>
    <xf numFmtId="0" fontId="3" fillId="7" borderId="0" xfId="0" applyFont="1" applyFill="1" applyAlignment="1">
      <alignment horizontal="left" vertical="center" wrapText="1"/>
    </xf>
    <xf numFmtId="165" fontId="3" fillId="7" borderId="0" xfId="3" applyNumberFormat="1" applyFont="1" applyFill="1" applyBorder="1" applyAlignment="1">
      <alignment horizontal="right" vertical="center"/>
    </xf>
    <xf numFmtId="165" fontId="3" fillId="7" borderId="14" xfId="3" applyNumberFormat="1" applyFont="1" applyFill="1" applyBorder="1" applyAlignment="1">
      <alignment horizontal="right" vertical="center"/>
    </xf>
    <xf numFmtId="167" fontId="3" fillId="6" borderId="11" xfId="3" applyNumberFormat="1" applyFont="1" applyFill="1" applyBorder="1" applyAlignment="1">
      <alignment horizontal="right" vertical="center"/>
    </xf>
    <xf numFmtId="167" fontId="3" fillId="0" borderId="10" xfId="0" applyNumberFormat="1" applyFont="1" applyBorder="1" applyAlignment="1">
      <alignment horizontal="center" vertical="center" wrapText="1"/>
    </xf>
    <xf numFmtId="167" fontId="3" fillId="6" borderId="18" xfId="3" applyNumberFormat="1" applyFont="1" applyFill="1" applyBorder="1" applyAlignment="1">
      <alignment horizontal="right" vertical="center"/>
    </xf>
    <xf numFmtId="167" fontId="3" fillId="0" borderId="0" xfId="3" applyNumberFormat="1" applyFont="1" applyFill="1" applyBorder="1" applyAlignment="1">
      <alignment horizontal="right" vertical="center"/>
    </xf>
    <xf numFmtId="167" fontId="3" fillId="6" borderId="10" xfId="3" applyNumberFormat="1" applyFont="1" applyFill="1" applyBorder="1" applyAlignment="1">
      <alignment horizontal="right" vertical="center"/>
    </xf>
    <xf numFmtId="167" fontId="2" fillId="0" borderId="0" xfId="3" applyNumberFormat="1" applyFont="1" applyFill="1" applyBorder="1" applyAlignment="1">
      <alignment horizontal="right" vertical="center"/>
    </xf>
    <xf numFmtId="167" fontId="2" fillId="0" borderId="11" xfId="3" applyNumberFormat="1" applyFont="1" applyFill="1" applyBorder="1" applyAlignment="1">
      <alignment horizontal="right" vertical="center"/>
    </xf>
    <xf numFmtId="167" fontId="3" fillId="0" borderId="10" xfId="3" applyNumberFormat="1" applyFont="1" applyFill="1" applyBorder="1" applyAlignment="1">
      <alignment horizontal="right" vertical="center"/>
    </xf>
    <xf numFmtId="167" fontId="3" fillId="7" borderId="0" xfId="3" applyNumberFormat="1" applyFont="1" applyFill="1" applyBorder="1" applyAlignment="1">
      <alignment horizontal="right" vertical="center"/>
    </xf>
    <xf numFmtId="167" fontId="2" fillId="0" borderId="12" xfId="3" applyNumberFormat="1" applyFont="1" applyFill="1" applyBorder="1" applyAlignment="1">
      <alignment horizontal="right" vertical="center"/>
    </xf>
    <xf numFmtId="167" fontId="15" fillId="0" borderId="0" xfId="3" applyNumberFormat="1" applyFont="1" applyFill="1" applyBorder="1" applyAlignment="1">
      <alignment horizontal="right" vertical="center"/>
    </xf>
    <xf numFmtId="0" fontId="8" fillId="0" borderId="0" xfId="0" applyFont="1"/>
    <xf numFmtId="167" fontId="3" fillId="6" borderId="9" xfId="3" applyNumberFormat="1" applyFont="1" applyFill="1" applyBorder="1" applyAlignment="1">
      <alignment horizontal="right" vertical="center"/>
    </xf>
    <xf numFmtId="165" fontId="0" fillId="0" borderId="0" xfId="0" applyNumberFormat="1"/>
    <xf numFmtId="165" fontId="2" fillId="5" borderId="0" xfId="3" applyNumberFormat="1" applyFont="1" applyFill="1" applyAlignment="1">
      <alignment horizontal="right" vertical="center"/>
    </xf>
    <xf numFmtId="165" fontId="2" fillId="5" borderId="0" xfId="3" applyNumberFormat="1" applyFont="1" applyFill="1" applyBorder="1" applyAlignment="1">
      <alignment horizontal="right" vertical="center"/>
    </xf>
    <xf numFmtId="165" fontId="2" fillId="5" borderId="14" xfId="3" applyNumberFormat="1" applyFont="1" applyFill="1" applyBorder="1" applyAlignment="1">
      <alignment horizontal="right" vertical="center"/>
    </xf>
    <xf numFmtId="167" fontId="2" fillId="5" borderId="10" xfId="3" applyNumberFormat="1" applyFont="1" applyFill="1" applyBorder="1" applyAlignment="1">
      <alignment horizontal="right" vertical="center"/>
    </xf>
    <xf numFmtId="167" fontId="3" fillId="5" borderId="10" xfId="3" applyNumberFormat="1" applyFont="1" applyFill="1" applyBorder="1" applyAlignment="1">
      <alignment horizontal="right" vertical="center"/>
    </xf>
    <xf numFmtId="165" fontId="3" fillId="5" borderId="0" xfId="3" applyNumberFormat="1" applyFont="1" applyFill="1" applyBorder="1" applyAlignment="1">
      <alignment horizontal="right" vertical="center"/>
    </xf>
    <xf numFmtId="165" fontId="3" fillId="5" borderId="14" xfId="3" applyNumberFormat="1" applyFont="1" applyFill="1" applyBorder="1" applyAlignment="1">
      <alignment horizontal="right" vertical="center"/>
    </xf>
    <xf numFmtId="165" fontId="3" fillId="5" borderId="2" xfId="3" applyNumberFormat="1" applyFont="1" applyFill="1" applyBorder="1" applyAlignment="1">
      <alignment horizontal="right" vertical="center"/>
    </xf>
    <xf numFmtId="167" fontId="3" fillId="5" borderId="11" xfId="3" applyNumberFormat="1" applyFont="1" applyFill="1" applyBorder="1" applyAlignment="1">
      <alignment horizontal="right" vertical="center"/>
    </xf>
    <xf numFmtId="165" fontId="3" fillId="5" borderId="15" xfId="3" applyNumberFormat="1" applyFont="1" applyFill="1" applyBorder="1" applyAlignment="1">
      <alignment horizontal="right" vertical="center"/>
    </xf>
    <xf numFmtId="0" fontId="9" fillId="0" borderId="0" xfId="0" applyFont="1" applyAlignment="1">
      <alignment horizontal="left" vertical="center" wrapText="1"/>
    </xf>
    <xf numFmtId="167" fontId="2" fillId="0" borderId="0" xfId="4" applyNumberFormat="1" applyFont="1" applyAlignment="1">
      <alignment vertical="center"/>
    </xf>
    <xf numFmtId="0" fontId="2" fillId="8" borderId="0" xfId="1" applyFont="1" applyFill="1" applyAlignment="1">
      <alignment vertical="center"/>
    </xf>
    <xf numFmtId="165" fontId="2" fillId="8" borderId="0" xfId="1" applyNumberFormat="1" applyFont="1" applyFill="1" applyAlignment="1">
      <alignment vertical="center"/>
    </xf>
    <xf numFmtId="0" fontId="0" fillId="9" borderId="0" xfId="0" applyFill="1"/>
    <xf numFmtId="165" fontId="0" fillId="9" borderId="0" xfId="0" applyNumberFormat="1" applyFill="1"/>
    <xf numFmtId="167" fontId="3" fillId="0" borderId="0" xfId="0" applyNumberFormat="1" applyFont="1" applyAlignment="1">
      <alignment horizontal="center" vertical="center" wrapText="1"/>
    </xf>
    <xf numFmtId="167" fontId="9" fillId="0" borderId="0" xfId="3" applyNumberFormat="1" applyFont="1" applyFill="1" applyBorder="1" applyAlignment="1">
      <alignment horizontal="right" vertical="center"/>
    </xf>
    <xf numFmtId="167" fontId="3" fillId="6" borderId="0" xfId="3" applyNumberFormat="1" applyFont="1" applyFill="1" applyBorder="1" applyAlignment="1">
      <alignment horizontal="right" vertical="center"/>
    </xf>
    <xf numFmtId="165" fontId="3" fillId="9" borderId="0" xfId="3" applyNumberFormat="1" applyFont="1" applyFill="1" applyBorder="1" applyAlignment="1">
      <alignment horizontal="right" vertical="center"/>
    </xf>
    <xf numFmtId="0" fontId="17" fillId="9" borderId="0" xfId="0" applyFont="1" applyFill="1"/>
    <xf numFmtId="165" fontId="8" fillId="0" borderId="0" xfId="0" applyNumberFormat="1" applyFont="1"/>
    <xf numFmtId="165" fontId="3" fillId="6" borderId="0" xfId="3" applyNumberFormat="1" applyFont="1" applyFill="1" applyBorder="1" applyAlignment="1">
      <alignment vertical="center"/>
    </xf>
    <xf numFmtId="167" fontId="11" fillId="6" borderId="0" xfId="3" applyNumberFormat="1" applyFont="1" applyFill="1" applyBorder="1" applyAlignment="1">
      <alignment vertical="center"/>
    </xf>
    <xf numFmtId="167" fontId="13" fillId="4" borderId="0" xfId="2" applyNumberFormat="1" applyFont="1" applyFill="1" applyAlignment="1">
      <alignment horizontal="center" vertical="top" wrapText="1"/>
    </xf>
    <xf numFmtId="167" fontId="15" fillId="0" borderId="0" xfId="3" applyNumberFormat="1" applyFont="1" applyFill="1" applyBorder="1" applyAlignment="1">
      <alignment vertical="center"/>
    </xf>
    <xf numFmtId="0" fontId="3" fillId="0" borderId="0" xfId="0" applyFont="1" applyAlignment="1">
      <alignment horizontal="left" vertical="top"/>
    </xf>
    <xf numFmtId="0" fontId="3" fillId="3" borderId="0" xfId="0" applyFont="1" applyFill="1" applyAlignment="1">
      <alignment horizontal="centerContinuous" vertical="center" wrapText="1"/>
    </xf>
    <xf numFmtId="0" fontId="3" fillId="0" borderId="0" xfId="0" applyFont="1" applyAlignment="1">
      <alignment horizontal="center" vertical="center"/>
    </xf>
    <xf numFmtId="165" fontId="2" fillId="0" borderId="3" xfId="3" applyNumberFormat="1" applyFont="1" applyFill="1" applyBorder="1" applyAlignment="1">
      <alignment horizontal="right" vertical="center"/>
    </xf>
    <xf numFmtId="0" fontId="19" fillId="0" borderId="0" xfId="0" applyFont="1" applyAlignment="1">
      <alignment horizontal="right" vertical="center" wrapText="1"/>
    </xf>
    <xf numFmtId="165" fontId="18" fillId="0" borderId="0" xfId="3" applyNumberFormat="1" applyFont="1" applyFill="1" applyBorder="1" applyAlignment="1">
      <alignment horizontal="right" vertical="center"/>
    </xf>
    <xf numFmtId="165" fontId="2" fillId="0" borderId="17" xfId="3" applyNumberFormat="1" applyFont="1" applyFill="1" applyBorder="1" applyAlignment="1">
      <alignment horizontal="right" vertical="center"/>
    </xf>
    <xf numFmtId="165" fontId="20" fillId="0" borderId="0" xfId="3" applyNumberFormat="1" applyFont="1" applyFill="1" applyBorder="1" applyAlignment="1">
      <alignment horizontal="right" vertical="center"/>
    </xf>
    <xf numFmtId="0" fontId="0" fillId="5" borderId="0" xfId="0" applyFill="1"/>
    <xf numFmtId="0" fontId="2" fillId="0" borderId="0" xfId="2" applyFont="1" applyAlignment="1">
      <alignment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center" wrapText="1"/>
    </xf>
    <xf numFmtId="0" fontId="2" fillId="0" borderId="0" xfId="1" applyFont="1" applyAlignment="1">
      <alignment horizontal="center" vertical="center"/>
    </xf>
    <xf numFmtId="165" fontId="2" fillId="0" borderId="0" xfId="3" applyNumberFormat="1" applyFont="1" applyFill="1" applyAlignment="1">
      <alignment vertical="center"/>
    </xf>
    <xf numFmtId="165" fontId="2" fillId="0" borderId="3" xfId="3" applyNumberFormat="1" applyFont="1" applyFill="1" applyBorder="1" applyAlignment="1">
      <alignment vertical="center"/>
    </xf>
    <xf numFmtId="0" fontId="3" fillId="0" borderId="0" xfId="0" applyFont="1" applyAlignment="1">
      <alignment vertical="center" wrapText="1"/>
    </xf>
    <xf numFmtId="165" fontId="3" fillId="0" borderId="0" xfId="3" applyNumberFormat="1" applyFont="1" applyFill="1" applyAlignment="1">
      <alignment vertical="center"/>
    </xf>
    <xf numFmtId="0" fontId="3" fillId="0" borderId="0" xfId="0" quotePrefix="1" applyFont="1" applyAlignment="1">
      <alignment horizontal="left" vertical="center" wrapText="1"/>
    </xf>
    <xf numFmtId="0" fontId="3" fillId="0" borderId="0" xfId="1" applyFont="1" applyAlignment="1">
      <alignment horizontal="center"/>
    </xf>
    <xf numFmtId="168" fontId="3" fillId="3" borderId="0" xfId="3" applyNumberFormat="1" applyFont="1" applyFill="1" applyAlignment="1">
      <alignment vertical="center" wrapText="1"/>
    </xf>
    <xf numFmtId="168" fontId="21" fillId="3" borderId="0" xfId="3" applyNumberFormat="1" applyFont="1" applyFill="1" applyAlignment="1">
      <alignment horizontal="right" wrapText="1"/>
    </xf>
    <xf numFmtId="168" fontId="3" fillId="3" borderId="0" xfId="3" applyNumberFormat="1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65" fontId="3" fillId="3" borderId="0" xfId="3" applyNumberFormat="1" applyFont="1" applyFill="1" applyAlignment="1">
      <alignment vertical="center"/>
    </xf>
    <xf numFmtId="0" fontId="3" fillId="0" borderId="0" xfId="1" applyFont="1" applyAlignment="1">
      <alignment vertical="center"/>
    </xf>
    <xf numFmtId="168" fontId="22" fillId="3" borderId="0" xfId="3" applyNumberFormat="1" applyFont="1" applyFill="1" applyAlignment="1">
      <alignment vertical="center" wrapText="1"/>
    </xf>
    <xf numFmtId="168" fontId="22" fillId="3" borderId="0" xfId="3" applyNumberFormat="1" applyFont="1" applyFill="1" applyAlignment="1">
      <alignment horizontal="right" wrapText="1"/>
    </xf>
    <xf numFmtId="168" fontId="22" fillId="3" borderId="0" xfId="3" applyNumberFormat="1" applyFont="1" applyFill="1" applyAlignment="1">
      <alignment horizontal="center" vertical="center"/>
    </xf>
    <xf numFmtId="0" fontId="22" fillId="3" borderId="0" xfId="0" applyFont="1" applyFill="1" applyAlignment="1">
      <alignment horizontal="center" vertical="center"/>
    </xf>
    <xf numFmtId="165" fontId="22" fillId="3" borderId="0" xfId="3" applyNumberFormat="1" applyFont="1" applyFill="1" applyAlignment="1">
      <alignment vertical="center"/>
    </xf>
    <xf numFmtId="0" fontId="22" fillId="0" borderId="0" xfId="1" applyFont="1" applyAlignment="1">
      <alignment vertical="center"/>
    </xf>
    <xf numFmtId="0" fontId="18" fillId="0" borderId="0" xfId="1" applyFont="1" applyAlignment="1">
      <alignment vertical="center"/>
    </xf>
    <xf numFmtId="0" fontId="3" fillId="0" borderId="0" xfId="1" applyFont="1" applyAlignment="1">
      <alignment horizontal="center" vertical="center"/>
    </xf>
    <xf numFmtId="0" fontId="24" fillId="0" borderId="0" xfId="0" applyFont="1"/>
    <xf numFmtId="0" fontId="4" fillId="10" borderId="0" xfId="2" applyFont="1" applyFill="1" applyAlignment="1">
      <alignment horizontal="center" vertical="center" wrapText="1"/>
    </xf>
    <xf numFmtId="0" fontId="4" fillId="10" borderId="1" xfId="0" applyFont="1" applyFill="1" applyBorder="1" applyAlignment="1">
      <alignment horizontal="center" vertical="center" wrapText="1"/>
    </xf>
    <xf numFmtId="0" fontId="4" fillId="10" borderId="0" xfId="0" applyFont="1" applyFill="1" applyAlignment="1">
      <alignment horizontal="center" vertical="center" wrapText="1"/>
    </xf>
    <xf numFmtId="0" fontId="4" fillId="10" borderId="0" xfId="2" applyFont="1" applyFill="1" applyAlignment="1">
      <alignment horizontal="left" vertical="top" wrapText="1"/>
    </xf>
    <xf numFmtId="0" fontId="4" fillId="10" borderId="0" xfId="2" applyFont="1" applyFill="1" applyAlignment="1">
      <alignment horizontal="center" vertical="top" wrapText="1"/>
    </xf>
    <xf numFmtId="0" fontId="25" fillId="10" borderId="0" xfId="0" applyFont="1" applyFill="1" applyAlignment="1">
      <alignment horizontal="center" vertical="center"/>
    </xf>
    <xf numFmtId="0" fontId="23" fillId="10" borderId="0" xfId="2" applyFont="1" applyFill="1" applyAlignment="1">
      <alignment horizontal="center" vertical="center" wrapText="1"/>
    </xf>
    <xf numFmtId="0" fontId="11" fillId="0" borderId="0" xfId="0" applyFont="1" applyAlignment="1">
      <alignment vertical="top"/>
    </xf>
    <xf numFmtId="0" fontId="11" fillId="0" borderId="0" xfId="0" applyFont="1" applyAlignment="1">
      <alignment vertical="center"/>
    </xf>
    <xf numFmtId="165" fontId="2" fillId="3" borderId="0" xfId="3" applyNumberFormat="1" applyFont="1" applyFill="1" applyBorder="1" applyAlignment="1">
      <alignment vertical="center"/>
    </xf>
    <xf numFmtId="165" fontId="3" fillId="3" borderId="0" xfId="3" applyNumberFormat="1" applyFont="1" applyFill="1" applyBorder="1" applyAlignment="1">
      <alignment vertical="center"/>
    </xf>
    <xf numFmtId="165" fontId="3" fillId="3" borderId="2" xfId="3" applyNumberFormat="1" applyFont="1" applyFill="1" applyBorder="1" applyAlignment="1">
      <alignment vertical="center"/>
    </xf>
    <xf numFmtId="165" fontId="2" fillId="3" borderId="1" xfId="3" applyNumberFormat="1" applyFont="1" applyFill="1" applyBorder="1" applyAlignment="1">
      <alignment vertical="center"/>
    </xf>
    <xf numFmtId="165" fontId="2" fillId="3" borderId="0" xfId="0" applyNumberFormat="1" applyFont="1" applyFill="1" applyAlignment="1">
      <alignment vertical="center"/>
    </xf>
    <xf numFmtId="168" fontId="2" fillId="3" borderId="0" xfId="5" applyNumberFormat="1" applyFont="1" applyFill="1" applyAlignment="1">
      <alignment vertical="center"/>
    </xf>
    <xf numFmtId="165" fontId="2" fillId="3" borderId="2" xfId="3" applyNumberFormat="1" applyFont="1" applyFill="1" applyBorder="1" applyAlignment="1">
      <alignment vertical="center"/>
    </xf>
    <xf numFmtId="165" fontId="3" fillId="3" borderId="3" xfId="3" applyNumberFormat="1" applyFont="1" applyFill="1" applyBorder="1" applyAlignment="1">
      <alignment vertical="center"/>
    </xf>
    <xf numFmtId="0" fontId="9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3" borderId="0" xfId="0" applyFont="1" applyFill="1" applyAlignment="1">
      <alignment vertical="center"/>
    </xf>
    <xf numFmtId="168" fontId="3" fillId="0" borderId="0" xfId="3" applyNumberFormat="1" applyFont="1" applyFill="1" applyBorder="1" applyAlignment="1">
      <alignment vertical="center" wrapText="1"/>
    </xf>
    <xf numFmtId="168" fontId="2" fillId="0" borderId="0" xfId="3" applyNumberFormat="1" applyFont="1" applyFill="1" applyBorder="1" applyAlignment="1">
      <alignment horizontal="center" vertical="center" wrapText="1"/>
    </xf>
    <xf numFmtId="168" fontId="3" fillId="0" borderId="0" xfId="3" applyNumberFormat="1" applyFont="1" applyFill="1" applyBorder="1" applyAlignment="1">
      <alignment vertical="center"/>
    </xf>
    <xf numFmtId="0" fontId="26" fillId="0" borderId="0" xfId="0" applyFont="1"/>
    <xf numFmtId="0" fontId="27" fillId="0" borderId="0" xfId="0" applyFont="1"/>
    <xf numFmtId="0" fontId="2" fillId="11" borderId="0" xfId="0" quotePrefix="1" applyFont="1" applyFill="1" applyAlignment="1">
      <alignment horizontal="left" vertical="center" wrapText="1"/>
    </xf>
    <xf numFmtId="165" fontId="3" fillId="11" borderId="0" xfId="3" applyNumberFormat="1" applyFont="1" applyFill="1" applyBorder="1" applyAlignment="1">
      <alignment vertical="center"/>
    </xf>
    <xf numFmtId="167" fontId="11" fillId="11" borderId="0" xfId="3" applyNumberFormat="1" applyFont="1" applyFill="1" applyBorder="1" applyAlignment="1">
      <alignment vertical="center"/>
    </xf>
    <xf numFmtId="0" fontId="3" fillId="11" borderId="0" xfId="0" applyFont="1" applyFill="1" applyAlignment="1">
      <alignment horizontal="left" vertical="center" wrapText="1"/>
    </xf>
    <xf numFmtId="0" fontId="3" fillId="11" borderId="0" xfId="0" applyFont="1" applyFill="1" applyAlignment="1">
      <alignment horizontal="center" vertical="center"/>
    </xf>
    <xf numFmtId="0" fontId="2" fillId="11" borderId="0" xfId="0" applyFont="1" applyFill="1" applyAlignment="1">
      <alignment horizontal="center" vertical="center" wrapText="1"/>
    </xf>
    <xf numFmtId="0" fontId="2" fillId="11" borderId="0" xfId="0" applyFont="1" applyFill="1" applyAlignment="1">
      <alignment vertical="center"/>
    </xf>
    <xf numFmtId="0" fontId="3" fillId="11" borderId="0" xfId="0" applyFont="1" applyFill="1" applyAlignment="1">
      <alignment horizontal="center" vertical="center" wrapText="1"/>
    </xf>
    <xf numFmtId="0" fontId="3" fillId="11" borderId="0" xfId="0" applyFont="1" applyFill="1" applyAlignment="1">
      <alignment vertical="center"/>
    </xf>
    <xf numFmtId="165" fontId="3" fillId="11" borderId="3" xfId="3" applyNumberFormat="1" applyFont="1" applyFill="1" applyBorder="1" applyAlignment="1">
      <alignment vertical="center"/>
    </xf>
    <xf numFmtId="165" fontId="3" fillId="11" borderId="2" xfId="3" applyNumberFormat="1" applyFont="1" applyFill="1" applyBorder="1" applyAlignment="1">
      <alignment vertical="center"/>
    </xf>
    <xf numFmtId="0" fontId="3" fillId="11" borderId="0" xfId="0" applyFont="1" applyFill="1" applyAlignment="1">
      <alignment horizontal="center" wrapText="1"/>
    </xf>
    <xf numFmtId="0" fontId="2" fillId="11" borderId="0" xfId="1" applyFont="1" applyFill="1" applyAlignment="1">
      <alignment horizontal="center" vertical="center"/>
    </xf>
    <xf numFmtId="165" fontId="2" fillId="11" borderId="2" xfId="3" applyNumberFormat="1" applyFont="1" applyFill="1" applyBorder="1" applyAlignment="1">
      <alignment vertical="center"/>
    </xf>
    <xf numFmtId="165" fontId="2" fillId="11" borderId="0" xfId="3" applyNumberFormat="1" applyFont="1" applyFill="1" applyBorder="1" applyAlignment="1">
      <alignment vertical="center"/>
    </xf>
    <xf numFmtId="165" fontId="2" fillId="11" borderId="2" xfId="3" applyNumberFormat="1" applyFont="1" applyFill="1" applyBorder="1" applyAlignment="1">
      <alignment horizontal="right" vertical="center"/>
    </xf>
    <xf numFmtId="165" fontId="3" fillId="11" borderId="0" xfId="3" applyNumberFormat="1" applyFont="1" applyFill="1" applyBorder="1" applyAlignment="1">
      <alignment horizontal="right" vertical="center"/>
    </xf>
    <xf numFmtId="167" fontId="3" fillId="11" borderId="0" xfId="3" applyNumberFormat="1" applyFont="1" applyFill="1" applyBorder="1" applyAlignment="1">
      <alignment horizontal="right" vertical="center"/>
    </xf>
    <xf numFmtId="165" fontId="2" fillId="11" borderId="3" xfId="3" applyNumberFormat="1" applyFont="1" applyFill="1" applyBorder="1" applyAlignment="1">
      <alignment horizontal="right" vertical="center"/>
    </xf>
  </cellXfs>
  <cellStyles count="6">
    <cellStyle name="Comma" xfId="5" builtinId="3"/>
    <cellStyle name="Comma 2" xfId="3" xr:uid="{8577CE0C-021E-4EA5-96EE-62C87D32E2F4}"/>
    <cellStyle name="Normal" xfId="0" builtinId="0"/>
    <cellStyle name="Normal - Style1" xfId="2" xr:uid="{90D39FB2-5067-4521-BC68-F3A2A14A98C7}"/>
    <cellStyle name="Normal 2" xfId="1" xr:uid="{C4B07E0B-146C-4155-B99C-A741BB7147AA}"/>
    <cellStyle name="Per cent" xfId="4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steinbeisconsulting.sharepoint.com/sites/SCMA/Server/01%20-%20Projekte/Laufende%20Projekte/10347%20-%20VIO%20Transport%20(VVO)%20-%20MH%20-%20BA/Situationsanalyse/08.%20Financial%20Situation/VIII%20-%201%202024-%20FSWS_Template_(OMF_1802_2014)_-_version_2024.xlsm" TargetMode="External"/><Relationship Id="rId2" Type="http://schemas.microsoft.com/office/2019/04/relationships/externalLinkLongPath" Target="/sites/SCMA/Server/01%20-%20Projekte/Laufende%20Projekte/10347%20-%20VIO%20Transport%20(VVO)%20-%20MH%20-%20BA/Situationsanalyse/08.%20Financial%20Situation/VIII%20-%201%202024-%20FSWS_Template_(OMF_1802_2014)_-_version_2024.xlsm?4C840DF3" TargetMode="External"/><Relationship Id="rId1" Type="http://schemas.openxmlformats.org/officeDocument/2006/relationships/externalLinkPath" Target="file:///\\4C840DF3\VIII%20-%201%202024-%20FSWS_Template_(OMF_1802_2014)_-_version_2024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SETUP INFO"/>
      <sheetName val="TB Mapping"/>
      <sheetName val="Approach FSWS"/>
      <sheetName val="BS"/>
      <sheetName val="PL"/>
      <sheetName val="SBS"/>
      <sheetName val="SPL"/>
      <sheetName val="CF"/>
      <sheetName val="Eq"/>
      <sheetName val="3"/>
      <sheetName val="4"/>
      <sheetName val="5"/>
      <sheetName val="6"/>
      <sheetName val="7"/>
      <sheetName val="8"/>
      <sheetName val="clasa 16 suport nota 8 "/>
      <sheetName val="9"/>
      <sheetName val="10"/>
      <sheetName val="12"/>
      <sheetName val="13"/>
      <sheetName val="clasa  64 suport calcul nota 13"/>
      <sheetName val="14"/>
      <sheetName val="15"/>
      <sheetName val="ICO note support"/>
      <sheetName val="ASM-&gt;"/>
      <sheetName val="Approach ASM"/>
      <sheetName val="PL ASM"/>
      <sheetName val="BS ASM"/>
      <sheetName val="Cash"/>
      <sheetName val="Inventory"/>
      <sheetName val="Receivables"/>
      <sheetName val="Payables"/>
      <sheetName val="PPE N"/>
      <sheetName val="Ratios"/>
      <sheetName val="Revenue"/>
      <sheetName val="Payroll"/>
      <sheetName val="Services"/>
      <sheetName val="ASM Data (Manual upload)"/>
      <sheetName val="Procedures"/>
      <sheetName val="Legend"/>
    </sheetNames>
    <sheetDataSet>
      <sheetData sheetId="0"/>
      <sheetData sheetId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109"/>
  <sheetViews>
    <sheetView showGridLines="0" zoomScaleNormal="100" workbookViewId="0">
      <selection activeCell="R85" sqref="R85"/>
    </sheetView>
  </sheetViews>
  <sheetFormatPr defaultColWidth="8.7109375" defaultRowHeight="15" outlineLevelRow="1" outlineLevelCol="1"/>
  <cols>
    <col min="2" max="2" width="56" style="3" customWidth="1" outlineLevel="1"/>
    <col min="3" max="3" width="15.5703125" style="3" customWidth="1" outlineLevel="1"/>
    <col min="4" max="4" width="7.5703125" style="52" customWidth="1" outlineLevel="1"/>
    <col min="5" max="5" width="15.5703125" style="3" customWidth="1" outlineLevel="1"/>
    <col min="6" max="6" width="7.5703125" style="52" customWidth="1" outlineLevel="1"/>
    <col min="7" max="7" width="15.5703125" style="3" customWidth="1" outlineLevel="1"/>
    <col min="8" max="8" width="7.5703125" style="52" customWidth="1" outlineLevel="1"/>
  </cols>
  <sheetData>
    <row r="1" spans="2:8">
      <c r="B1" s="1"/>
      <c r="C1" s="1"/>
      <c r="D1" s="45"/>
      <c r="E1" s="1"/>
      <c r="F1" s="45"/>
      <c r="G1" s="1"/>
      <c r="H1" s="45"/>
    </row>
    <row r="2" spans="2:8">
      <c r="B2" s="2" t="s">
        <v>67</v>
      </c>
      <c r="C2" s="35" t="s">
        <v>205</v>
      </c>
      <c r="D2" s="46"/>
      <c r="E2" s="35"/>
      <c r="F2" s="46"/>
      <c r="G2" s="35"/>
      <c r="H2" s="46"/>
    </row>
    <row r="3" spans="2:8">
      <c r="C3" s="4" t="s">
        <v>204</v>
      </c>
      <c r="D3" s="47"/>
      <c r="E3" s="58" t="s">
        <v>204</v>
      </c>
      <c r="F3" s="47"/>
      <c r="G3" s="58" t="s">
        <v>204</v>
      </c>
      <c r="H3" s="47"/>
    </row>
    <row r="4" spans="2:8">
      <c r="B4" s="113" t="s">
        <v>210</v>
      </c>
      <c r="C4" s="34">
        <v>46021</v>
      </c>
      <c r="D4" s="37"/>
      <c r="E4" s="59">
        <v>45655</v>
      </c>
      <c r="F4" s="37"/>
      <c r="G4" s="59">
        <v>45657</v>
      </c>
      <c r="H4" s="37"/>
    </row>
    <row r="5" spans="2:8">
      <c r="B5"/>
      <c r="C5" s="33">
        <v>4.9489999999999998</v>
      </c>
      <c r="D5" s="48"/>
      <c r="E5" s="60">
        <v>4.9749999999999996</v>
      </c>
      <c r="F5" s="48"/>
      <c r="G5" s="60">
        <v>4.9740000000000002</v>
      </c>
      <c r="H5" s="48"/>
    </row>
    <row r="6" spans="2:8">
      <c r="B6" s="5"/>
      <c r="C6" s="6"/>
      <c r="D6" s="49"/>
      <c r="E6" s="61"/>
      <c r="F6" s="49"/>
      <c r="G6" s="61"/>
      <c r="H6" s="49"/>
    </row>
    <row r="7" spans="2:8" ht="45">
      <c r="B7" s="7" t="s">
        <v>0</v>
      </c>
      <c r="C7" s="8" t="s">
        <v>88</v>
      </c>
      <c r="D7" s="62"/>
      <c r="E7" s="8" t="s">
        <v>68</v>
      </c>
      <c r="F7" s="62"/>
      <c r="G7" s="8" t="s">
        <v>69</v>
      </c>
      <c r="H7" s="62"/>
    </row>
    <row r="8" spans="2:8">
      <c r="B8" s="5" t="s">
        <v>1</v>
      </c>
      <c r="C8" s="9">
        <v>38216485.956758939</v>
      </c>
      <c r="D8" s="50">
        <f>C8/C24</f>
        <v>0.98840080467229208</v>
      </c>
      <c r="E8" s="39">
        <v>37396294.271356784</v>
      </c>
      <c r="F8" s="50">
        <f>E8/E24</f>
        <v>0.98546718135576272</v>
      </c>
      <c r="G8" s="39">
        <v>34006908.524326496</v>
      </c>
      <c r="H8" s="50">
        <f>G8/G24</f>
        <v>0.98263515739983487</v>
      </c>
    </row>
    <row r="9" spans="2:8" outlineLevel="1">
      <c r="B9" s="10" t="s">
        <v>2</v>
      </c>
      <c r="C9" s="11">
        <v>0</v>
      </c>
      <c r="D9" s="51"/>
      <c r="E9" s="40">
        <v>0</v>
      </c>
      <c r="F9" s="51"/>
      <c r="G9" s="40">
        <v>32096156.011258543</v>
      </c>
      <c r="H9" s="51"/>
    </row>
    <row r="10" spans="2:8" ht="22.5" outlineLevel="1">
      <c r="B10" s="12" t="s">
        <v>3</v>
      </c>
      <c r="C10" s="3">
        <v>0</v>
      </c>
      <c r="E10" s="41">
        <v>0</v>
      </c>
      <c r="G10" s="41">
        <v>341506.25452352234</v>
      </c>
    </row>
    <row r="11" spans="2:8" outlineLevel="1">
      <c r="B11" s="10" t="s">
        <v>4</v>
      </c>
      <c r="C11" s="13">
        <v>36069540.311173975</v>
      </c>
      <c r="D11" s="50">
        <f>C11/C24</f>
        <v>0.93287390965413441</v>
      </c>
      <c r="E11" s="41">
        <v>0</v>
      </c>
      <c r="F11" s="50">
        <f>E11/E24</f>
        <v>0</v>
      </c>
      <c r="G11" s="41">
        <v>32197889.022919178</v>
      </c>
      <c r="H11" s="50">
        <f>G11/G24</f>
        <v>0.93036324443740959</v>
      </c>
    </row>
    <row r="12" spans="2:8" outlineLevel="1">
      <c r="B12" s="10" t="s">
        <v>5</v>
      </c>
      <c r="C12" s="13">
        <v>2146945.6455849665</v>
      </c>
      <c r="D12" s="50">
        <f>C12/C24</f>
        <v>5.5526895018157774E-2</v>
      </c>
      <c r="E12" s="41">
        <v>0</v>
      </c>
      <c r="F12" s="50">
        <f>E12/E24</f>
        <v>0</v>
      </c>
      <c r="G12" s="41">
        <v>1809019.5014073181</v>
      </c>
      <c r="H12" s="50">
        <f>G12/G24</f>
        <v>5.2271912962425213E-2</v>
      </c>
    </row>
    <row r="13" spans="2:8" outlineLevel="1">
      <c r="B13" s="10" t="s">
        <v>6</v>
      </c>
      <c r="C13" s="13">
        <v>0</v>
      </c>
      <c r="D13" s="53"/>
      <c r="E13" s="41">
        <v>0</v>
      </c>
      <c r="F13" s="53"/>
      <c r="G13" s="41">
        <v>0</v>
      </c>
      <c r="H13" s="53"/>
    </row>
    <row r="14" spans="2:8" outlineLevel="1">
      <c r="B14" s="14" t="s">
        <v>7</v>
      </c>
      <c r="C14" s="13">
        <v>0</v>
      </c>
      <c r="D14" s="53"/>
      <c r="E14" s="41">
        <v>0</v>
      </c>
      <c r="F14" s="53"/>
      <c r="G14" s="41">
        <v>0</v>
      </c>
      <c r="H14" s="53"/>
    </row>
    <row r="15" spans="2:8" ht="22.5">
      <c r="B15" s="10" t="s">
        <v>70</v>
      </c>
      <c r="C15" s="13">
        <v>0</v>
      </c>
      <c r="D15" s="53"/>
      <c r="E15" s="41">
        <v>0</v>
      </c>
      <c r="F15" s="53"/>
      <c r="G15" s="41">
        <v>0</v>
      </c>
      <c r="H15" s="53"/>
    </row>
    <row r="16" spans="2:8" ht="22.5" outlineLevel="1">
      <c r="B16" s="10" t="s">
        <v>8</v>
      </c>
      <c r="C16" s="13">
        <v>0</v>
      </c>
      <c r="D16" s="53"/>
      <c r="E16" s="41">
        <v>0</v>
      </c>
      <c r="F16" s="53"/>
      <c r="G16" s="41">
        <v>0</v>
      </c>
      <c r="H16" s="53"/>
    </row>
    <row r="17" spans="2:8" ht="22.5">
      <c r="B17" s="5" t="s">
        <v>71</v>
      </c>
      <c r="C17" s="13">
        <v>0</v>
      </c>
      <c r="D17" s="53"/>
      <c r="E17" s="41">
        <v>0</v>
      </c>
      <c r="F17" s="53"/>
      <c r="G17" s="41">
        <v>0</v>
      </c>
      <c r="H17" s="53"/>
    </row>
    <row r="18" spans="2:8">
      <c r="B18" s="10" t="s">
        <v>72</v>
      </c>
      <c r="C18" s="13">
        <v>0</v>
      </c>
      <c r="D18" s="53"/>
      <c r="E18" s="41">
        <v>0</v>
      </c>
      <c r="F18" s="53"/>
      <c r="G18" s="41">
        <v>0</v>
      </c>
      <c r="H18" s="53"/>
    </row>
    <row r="19" spans="2:8">
      <c r="B19" s="10" t="s">
        <v>73</v>
      </c>
      <c r="C19" s="13">
        <v>0</v>
      </c>
      <c r="D19" s="53"/>
      <c r="E19" s="41">
        <v>0</v>
      </c>
      <c r="F19" s="53"/>
      <c r="G19" s="41">
        <v>0</v>
      </c>
      <c r="H19" s="53"/>
    </row>
    <row r="20" spans="2:8" ht="22.5">
      <c r="B20" s="10" t="s">
        <v>74</v>
      </c>
      <c r="C20" s="3">
        <v>0</v>
      </c>
      <c r="E20" s="41">
        <v>0</v>
      </c>
      <c r="G20" s="41">
        <v>0</v>
      </c>
    </row>
    <row r="21" spans="2:8">
      <c r="B21" s="5" t="s">
        <v>9</v>
      </c>
      <c r="C21" s="9">
        <v>448482.52172155993</v>
      </c>
      <c r="D21" s="50">
        <f>C21/C24</f>
        <v>1.1599195327707788E-2</v>
      </c>
      <c r="E21" s="39">
        <v>551488.24120603024</v>
      </c>
      <c r="F21" s="50">
        <f>E21/E24</f>
        <v>1.4532818644237172E-2</v>
      </c>
      <c r="G21" s="39">
        <v>600960.19300361874</v>
      </c>
      <c r="H21" s="50">
        <f>G21/G24</f>
        <v>1.7364842600165208E-2</v>
      </c>
    </row>
    <row r="22" spans="2:8" outlineLevel="1">
      <c r="B22" s="15" t="s">
        <v>10</v>
      </c>
      <c r="C22" s="9">
        <v>6159.6282077187316</v>
      </c>
      <c r="D22" s="50">
        <f>C22/C24</f>
        <v>1.5930772609182273E-4</v>
      </c>
      <c r="E22" s="41">
        <v>0</v>
      </c>
      <c r="F22" s="50"/>
      <c r="G22" s="41">
        <v>0</v>
      </c>
      <c r="H22" s="50"/>
    </row>
    <row r="23" spans="2:8" outlineLevel="1">
      <c r="B23" s="15" t="s">
        <v>11</v>
      </c>
      <c r="C23" s="13">
        <v>0</v>
      </c>
      <c r="D23" s="53"/>
      <c r="E23" s="41">
        <v>0</v>
      </c>
      <c r="F23" s="53"/>
      <c r="G23" s="41">
        <v>0</v>
      </c>
      <c r="H23" s="53"/>
    </row>
    <row r="24" spans="2:8" ht="23.25" thickBot="1">
      <c r="B24" s="5" t="s">
        <v>12</v>
      </c>
      <c r="C24" s="16">
        <v>38664968.478480503</v>
      </c>
      <c r="D24" s="54">
        <f>SUM(D11:D23)</f>
        <v>1.0001593077260917</v>
      </c>
      <c r="E24" s="42">
        <v>37947782.512562819</v>
      </c>
      <c r="F24" s="54">
        <f>SUM(F11:F23)</f>
        <v>1.4532818644237172E-2</v>
      </c>
      <c r="G24" s="67">
        <v>34607868.717330113</v>
      </c>
      <c r="H24" s="54">
        <f>SUM(H11:H23)</f>
        <v>1</v>
      </c>
    </row>
    <row r="25" spans="2:8">
      <c r="B25" s="63" t="s">
        <v>206</v>
      </c>
      <c r="C25" s="9"/>
      <c r="D25" s="50"/>
      <c r="E25" s="64">
        <f>E24/C24-1</f>
        <v>-1.8548727546922605E-2</v>
      </c>
      <c r="F25" s="50"/>
      <c r="G25" s="64">
        <f>G24/E24-1</f>
        <v>-8.8013411432591893E-2</v>
      </c>
      <c r="H25" s="50"/>
    </row>
    <row r="26" spans="2:8" ht="22.5">
      <c r="B26" s="5" t="s">
        <v>75</v>
      </c>
      <c r="C26" s="13">
        <v>6764286.9266518494</v>
      </c>
      <c r="D26" s="53">
        <f>C$26/$C$24</f>
        <v>0.1749461383995852</v>
      </c>
      <c r="E26" s="41">
        <v>6514435.1758793974</v>
      </c>
      <c r="F26" s="53">
        <f>E$26/$E$24</f>
        <v>0.1716684018024705</v>
      </c>
      <c r="G26" s="41">
        <v>5768370.5267390432</v>
      </c>
      <c r="H26" s="53">
        <f>G$26/$G$24</f>
        <v>0.16667800533612445</v>
      </c>
    </row>
    <row r="27" spans="2:8" outlineLevel="1">
      <c r="B27" s="10" t="s">
        <v>13</v>
      </c>
      <c r="C27" s="13">
        <v>30171.751869064457</v>
      </c>
      <c r="D27" s="53">
        <f>$C27/$C$24</f>
        <v>7.8033819905625791E-4</v>
      </c>
      <c r="E27" s="41">
        <v>33208.442211055277</v>
      </c>
      <c r="F27" s="53">
        <f>$E27/$E$24</f>
        <v>8.7510889997489158E-4</v>
      </c>
      <c r="G27" s="41">
        <v>21910.333735424207</v>
      </c>
      <c r="H27" s="53">
        <f>$G27/$G$24</f>
        <v>6.33102659813676E-4</v>
      </c>
    </row>
    <row r="28" spans="2:8" outlineLevel="1">
      <c r="B28" s="10" t="s">
        <v>14</v>
      </c>
      <c r="C28" s="13">
        <v>86376.439684784811</v>
      </c>
      <c r="D28" s="53">
        <f>$C28/$C$24</f>
        <v>2.2339715531608088E-3</v>
      </c>
      <c r="E28" s="41">
        <v>61133.065326633172</v>
      </c>
      <c r="F28" s="53">
        <f t="shared" ref="F28:F90" si="0">$E28/$E$24</f>
        <v>1.610978594240513E-3</v>
      </c>
      <c r="G28" s="41">
        <v>40715.319662243666</v>
      </c>
      <c r="H28" s="53">
        <f t="shared" ref="H28:H90" si="1">$G28/$G$24</f>
        <v>1.1764757892142375E-3</v>
      </c>
    </row>
    <row r="29" spans="2:8" outlineLevel="1">
      <c r="B29" s="12" t="s">
        <v>15</v>
      </c>
      <c r="C29" s="13">
        <v>84990.099009900994</v>
      </c>
      <c r="D29" s="53">
        <f>$C29/$C$24</f>
        <v>2.1981163403043597E-3</v>
      </c>
      <c r="E29" s="41">
        <v>58890.452261306535</v>
      </c>
      <c r="F29" s="53">
        <f t="shared" si="0"/>
        <v>1.5518812526610884E-3</v>
      </c>
      <c r="G29" s="41">
        <v>37208.484117410531</v>
      </c>
      <c r="H29" s="53">
        <f t="shared" si="1"/>
        <v>1.0751452053092811E-3</v>
      </c>
    </row>
    <row r="30" spans="2:8" outlineLevel="1">
      <c r="B30" s="12" t="s">
        <v>16</v>
      </c>
      <c r="C30" s="13">
        <v>0</v>
      </c>
      <c r="D30" s="53"/>
      <c r="E30" s="41">
        <v>0</v>
      </c>
      <c r="F30" s="53"/>
      <c r="G30" s="41">
        <v>0</v>
      </c>
      <c r="H30" s="53"/>
    </row>
    <row r="31" spans="2:8">
      <c r="B31" s="10" t="s">
        <v>17</v>
      </c>
      <c r="C31" s="13">
        <v>2145422.1054758537</v>
      </c>
      <c r="D31" s="53">
        <f>$C31/$C$24</f>
        <v>5.5487491388229546E-2</v>
      </c>
      <c r="E31" s="41">
        <v>1748810.4522613066</v>
      </c>
      <c r="F31" s="53">
        <f t="shared" si="0"/>
        <v>4.6084654661503695E-2</v>
      </c>
      <c r="G31" s="41">
        <v>1808855.6493767591</v>
      </c>
      <c r="H31" s="53">
        <f t="shared" si="1"/>
        <v>5.2267178431330649E-2</v>
      </c>
    </row>
    <row r="32" spans="2:8" outlineLevel="1">
      <c r="B32" s="10" t="s">
        <v>18</v>
      </c>
      <c r="C32" s="13">
        <v>0</v>
      </c>
      <c r="D32" s="53"/>
      <c r="E32" s="41">
        <v>0</v>
      </c>
      <c r="F32" s="53"/>
      <c r="G32" s="41">
        <v>0</v>
      </c>
      <c r="H32" s="53"/>
    </row>
    <row r="33" spans="2:8" ht="15.75" thickBot="1">
      <c r="B33" s="5" t="s">
        <v>19</v>
      </c>
      <c r="C33" s="16">
        <v>3420668.4178621946</v>
      </c>
      <c r="D33" s="66">
        <f>$C33/$C$24</f>
        <v>8.8469447990524364E-2</v>
      </c>
      <c r="E33" s="42">
        <v>4168543.1155778896</v>
      </c>
      <c r="F33" s="66">
        <f t="shared" si="0"/>
        <v>0.1098494520515888</v>
      </c>
      <c r="G33" s="42">
        <v>4283540.6111781262</v>
      </c>
      <c r="H33" s="66">
        <f t="shared" si="1"/>
        <v>0.12377360322778605</v>
      </c>
    </row>
    <row r="34" spans="2:8">
      <c r="B34" s="10" t="s">
        <v>20</v>
      </c>
      <c r="C34" s="13">
        <v>3347551.6265912307</v>
      </c>
      <c r="D34" s="53">
        <f t="shared" ref="D34:D98" si="2">$C34/$C$24</f>
        <v>8.6578413440433932E-2</v>
      </c>
      <c r="E34" s="41">
        <v>4079188.7437185934</v>
      </c>
      <c r="F34" s="53">
        <f t="shared" si="0"/>
        <v>0.10749478556140021</v>
      </c>
      <c r="G34" s="41">
        <v>4188603.7394451145</v>
      </c>
      <c r="H34" s="53">
        <f t="shared" si="1"/>
        <v>0.12103038686539065</v>
      </c>
    </row>
    <row r="35" spans="2:8">
      <c r="B35" s="10" t="s">
        <v>21</v>
      </c>
      <c r="C35" s="13">
        <v>73116.791270963833</v>
      </c>
      <c r="D35" s="53">
        <f t="shared" si="2"/>
        <v>1.8910345500904248E-3</v>
      </c>
      <c r="E35" s="41">
        <v>89354.371859296487</v>
      </c>
      <c r="F35" s="53">
        <f t="shared" si="0"/>
        <v>2.3546664901885964E-3</v>
      </c>
      <c r="G35" s="41">
        <v>94936.871733011663</v>
      </c>
      <c r="H35" s="53">
        <f t="shared" si="1"/>
        <v>2.7432163623953942E-3</v>
      </c>
    </row>
    <row r="36" spans="2:8" ht="23.25" thickBot="1">
      <c r="B36" s="5" t="s">
        <v>22</v>
      </c>
      <c r="C36" s="16">
        <v>2860043.2410587999</v>
      </c>
      <c r="D36" s="54">
        <f t="shared" si="2"/>
        <v>7.3969884202817721E-2</v>
      </c>
      <c r="E36" s="42">
        <v>2910385.1256281408</v>
      </c>
      <c r="F36" s="54">
        <f t="shared" si="0"/>
        <v>7.6694471532418054E-2</v>
      </c>
      <c r="G36" s="42">
        <v>2502104.1415359871</v>
      </c>
      <c r="H36" s="54">
        <f t="shared" si="1"/>
        <v>7.2298706458136852E-2</v>
      </c>
    </row>
    <row r="37" spans="2:8">
      <c r="B37" s="10" t="s">
        <v>23</v>
      </c>
      <c r="C37" s="13">
        <v>2860043.2410587999</v>
      </c>
      <c r="D37" s="53">
        <f t="shared" si="2"/>
        <v>7.3969884202817721E-2</v>
      </c>
      <c r="E37" s="41">
        <v>2910385.1256281408</v>
      </c>
      <c r="F37" s="53">
        <f t="shared" si="0"/>
        <v>7.6694471532418054E-2</v>
      </c>
      <c r="G37" s="41">
        <v>2502104.1415359871</v>
      </c>
      <c r="H37" s="53">
        <f t="shared" si="1"/>
        <v>7.2298706458136852E-2</v>
      </c>
    </row>
    <row r="38" spans="2:8" outlineLevel="1">
      <c r="B38" s="10" t="s">
        <v>24</v>
      </c>
      <c r="C38" s="13">
        <v>0</v>
      </c>
      <c r="D38" s="53"/>
      <c r="E38" s="41">
        <v>0</v>
      </c>
      <c r="F38" s="53"/>
      <c r="G38" s="41">
        <v>0</v>
      </c>
      <c r="H38" s="53"/>
    </row>
    <row r="39" spans="2:8" outlineLevel="1">
      <c r="B39" s="10" t="s">
        <v>25</v>
      </c>
      <c r="C39" s="13">
        <v>0</v>
      </c>
      <c r="D39" s="53"/>
      <c r="E39" s="41">
        <v>0</v>
      </c>
      <c r="F39" s="53"/>
      <c r="G39" s="41">
        <v>0</v>
      </c>
      <c r="H39" s="53"/>
    </row>
    <row r="40" spans="2:8" ht="15.75" thickBot="1">
      <c r="B40" s="5" t="s">
        <v>26</v>
      </c>
      <c r="C40" s="16">
        <v>1497.2721761972116</v>
      </c>
      <c r="D40" s="54">
        <f t="shared" si="2"/>
        <v>3.8724256998438729E-5</v>
      </c>
      <c r="E40" s="42">
        <v>-6619.2964824120609</v>
      </c>
      <c r="F40" s="54">
        <f t="shared" si="0"/>
        <v>-1.7443170704956756E-4</v>
      </c>
      <c r="G40" s="42">
        <v>36502.010454362688</v>
      </c>
      <c r="H40" s="54">
        <f t="shared" si="1"/>
        <v>1.0547315338168765E-3</v>
      </c>
    </row>
    <row r="41" spans="2:8" outlineLevel="1">
      <c r="B41" s="10" t="s">
        <v>27</v>
      </c>
      <c r="C41" s="13">
        <v>60289.351384118003</v>
      </c>
      <c r="D41" s="53">
        <f t="shared" si="2"/>
        <v>1.5592758446880109E-3</v>
      </c>
      <c r="E41" s="41">
        <v>8057.2864321608049</v>
      </c>
      <c r="F41" s="53">
        <f t="shared" si="0"/>
        <v>2.1232561954030903E-4</v>
      </c>
      <c r="G41" s="41">
        <v>48636.710896662647</v>
      </c>
      <c r="H41" s="53">
        <f t="shared" si="1"/>
        <v>1.405365678363993E-3</v>
      </c>
    </row>
    <row r="42" spans="2:8" outlineLevel="1">
      <c r="B42" s="10" t="s">
        <v>28</v>
      </c>
      <c r="C42" s="13">
        <v>58792.079207920797</v>
      </c>
      <c r="D42" s="53">
        <f t="shared" si="2"/>
        <v>1.5205515876895723E-3</v>
      </c>
      <c r="E42" s="41">
        <v>14676.582914572866</v>
      </c>
      <c r="F42" s="53">
        <f t="shared" si="0"/>
        <v>3.8675732658987661E-4</v>
      </c>
      <c r="G42" s="41">
        <v>12134.70044229996</v>
      </c>
      <c r="H42" s="53">
        <f t="shared" si="1"/>
        <v>3.5063414454711652E-4</v>
      </c>
    </row>
    <row r="43" spans="2:8" ht="23.25" thickBot="1">
      <c r="B43" s="5" t="s">
        <v>29</v>
      </c>
      <c r="C43" s="16">
        <v>20860356.839765608</v>
      </c>
      <c r="D43" s="54">
        <f>SUM(D44:D59)</f>
        <v>0.53951992550895311</v>
      </c>
      <c r="E43" s="42">
        <v>20773837.989949752</v>
      </c>
      <c r="F43" s="54">
        <f t="shared" si="0"/>
        <v>0.54743219799661447</v>
      </c>
      <c r="G43" s="42">
        <v>19593998.592681944</v>
      </c>
      <c r="H43" s="54">
        <f t="shared" si="1"/>
        <v>0.56617177881486025</v>
      </c>
    </row>
    <row r="44" spans="2:8" ht="22.5">
      <c r="B44" s="10" t="s">
        <v>30</v>
      </c>
      <c r="C44" s="13">
        <v>20609083.653263286</v>
      </c>
      <c r="D44" s="53">
        <f t="shared" si="2"/>
        <v>0.53301695214709777</v>
      </c>
      <c r="E44" s="41">
        <v>20097554.572864324</v>
      </c>
      <c r="F44" s="53">
        <f t="shared" si="0"/>
        <v>0.52961077676174939</v>
      </c>
      <c r="G44" s="41">
        <v>19154839.565741856</v>
      </c>
      <c r="H44" s="53">
        <f t="shared" si="1"/>
        <v>0.55348220724583208</v>
      </c>
    </row>
    <row r="45" spans="2:8" ht="22.5" outlineLevel="1">
      <c r="B45" s="10" t="s">
        <v>31</v>
      </c>
      <c r="C45" s="13">
        <v>164.07355021216406</v>
      </c>
      <c r="D45" s="53">
        <f t="shared" si="2"/>
        <v>4.2434678384254042E-6</v>
      </c>
      <c r="E45" s="41">
        <v>35171.45728643216</v>
      </c>
      <c r="F45" s="53">
        <f t="shared" si="0"/>
        <v>9.2683827506359455E-4</v>
      </c>
      <c r="G45" s="41">
        <v>85481.302774427022</v>
      </c>
      <c r="H45" s="53">
        <f t="shared" si="1"/>
        <v>2.4699961581749097E-3</v>
      </c>
    </row>
    <row r="46" spans="2:8" outlineLevel="1">
      <c r="B46" s="12" t="s">
        <v>32</v>
      </c>
      <c r="C46" s="13">
        <v>0</v>
      </c>
      <c r="D46" s="53"/>
      <c r="E46" s="41">
        <v>0</v>
      </c>
      <c r="F46" s="53"/>
      <c r="G46" s="41">
        <v>0</v>
      </c>
      <c r="H46" s="53"/>
    </row>
    <row r="47" spans="2:8" outlineLevel="1">
      <c r="B47" s="12" t="s">
        <v>33</v>
      </c>
      <c r="C47" s="13">
        <v>0</v>
      </c>
      <c r="D47" s="53"/>
      <c r="E47" s="41">
        <v>0</v>
      </c>
      <c r="F47" s="53"/>
      <c r="G47" s="41">
        <v>0</v>
      </c>
      <c r="H47" s="53"/>
    </row>
    <row r="48" spans="2:8" outlineLevel="1">
      <c r="B48" s="12" t="s">
        <v>34</v>
      </c>
      <c r="C48" s="13">
        <v>164.07355021216406</v>
      </c>
      <c r="D48" s="53">
        <f t="shared" si="2"/>
        <v>4.2434678384254042E-6</v>
      </c>
      <c r="E48" s="41">
        <v>35171.45728643216</v>
      </c>
      <c r="F48" s="53">
        <f t="shared" si="0"/>
        <v>9.2683827506359455E-4</v>
      </c>
      <c r="G48" s="41">
        <v>85481.302774427022</v>
      </c>
      <c r="H48" s="53">
        <f t="shared" si="1"/>
        <v>2.4699961581749097E-3</v>
      </c>
    </row>
    <row r="49" spans="2:8" outlineLevel="1">
      <c r="B49" s="10" t="s">
        <v>35</v>
      </c>
      <c r="C49" s="13">
        <v>0</v>
      </c>
      <c r="D49" s="53"/>
      <c r="E49" s="41">
        <v>0</v>
      </c>
      <c r="F49" s="53"/>
      <c r="G49" s="41">
        <v>0</v>
      </c>
      <c r="H49" s="53"/>
    </row>
    <row r="50" spans="2:8" outlineLevel="1">
      <c r="B50" s="10" t="s">
        <v>36</v>
      </c>
      <c r="C50" s="13">
        <v>0</v>
      </c>
      <c r="D50" s="53"/>
      <c r="E50" s="41">
        <v>0</v>
      </c>
      <c r="F50" s="53"/>
      <c r="G50" s="41">
        <v>0</v>
      </c>
      <c r="H50" s="53"/>
    </row>
    <row r="51" spans="2:8" outlineLevel="1">
      <c r="B51" s="10" t="s">
        <v>37</v>
      </c>
      <c r="C51" s="13">
        <v>0</v>
      </c>
      <c r="D51" s="53"/>
      <c r="E51" s="41">
        <v>0</v>
      </c>
      <c r="F51" s="53"/>
      <c r="G51" s="41">
        <v>0</v>
      </c>
      <c r="H51" s="53"/>
    </row>
    <row r="52" spans="2:8" outlineLevel="1">
      <c r="B52" s="10" t="s">
        <v>36</v>
      </c>
      <c r="C52" s="13">
        <v>0</v>
      </c>
      <c r="D52" s="53"/>
      <c r="E52" s="41">
        <v>0</v>
      </c>
      <c r="F52" s="53"/>
      <c r="G52" s="41">
        <v>0</v>
      </c>
      <c r="H52" s="53"/>
    </row>
    <row r="53" spans="2:8" outlineLevel="1">
      <c r="B53" s="10" t="s">
        <v>38</v>
      </c>
      <c r="C53" s="13">
        <v>0</v>
      </c>
      <c r="D53" s="53"/>
      <c r="E53" s="41">
        <v>0</v>
      </c>
      <c r="F53" s="53"/>
      <c r="G53" s="41">
        <v>0</v>
      </c>
      <c r="H53" s="53"/>
    </row>
    <row r="54" spans="2:8" outlineLevel="1">
      <c r="B54" s="10" t="s">
        <v>36</v>
      </c>
      <c r="C54" s="13">
        <v>0</v>
      </c>
      <c r="D54" s="53"/>
      <c r="E54" s="41">
        <v>0</v>
      </c>
      <c r="F54" s="53"/>
      <c r="G54" s="41">
        <v>0</v>
      </c>
      <c r="H54" s="53"/>
    </row>
    <row r="55" spans="2:8" ht="33.75" outlineLevel="1">
      <c r="B55" s="10" t="s">
        <v>39</v>
      </c>
      <c r="C55" s="13">
        <v>101415.23540109114</v>
      </c>
      <c r="D55" s="53">
        <f t="shared" si="2"/>
        <v>2.6229230073609171E-3</v>
      </c>
      <c r="E55" s="41">
        <v>107909.34673366835</v>
      </c>
      <c r="F55" s="53">
        <f t="shared" si="0"/>
        <v>2.8436272053036136E-3</v>
      </c>
      <c r="G55" s="41">
        <v>126989.1435464415</v>
      </c>
      <c r="H55" s="53">
        <f t="shared" si="1"/>
        <v>3.6693719738612757E-3</v>
      </c>
    </row>
    <row r="56" spans="2:8" outlineLevel="1">
      <c r="B56" s="10" t="s">
        <v>40</v>
      </c>
      <c r="C56" s="13">
        <v>0</v>
      </c>
      <c r="D56" s="53"/>
      <c r="E56" s="41">
        <v>0</v>
      </c>
      <c r="F56" s="53"/>
      <c r="G56" s="41">
        <v>0</v>
      </c>
      <c r="H56" s="53"/>
    </row>
    <row r="57" spans="2:8" outlineLevel="1">
      <c r="B57" s="10" t="s">
        <v>41</v>
      </c>
      <c r="C57" s="13">
        <v>0</v>
      </c>
      <c r="D57" s="53"/>
      <c r="E57" s="41">
        <v>0</v>
      </c>
      <c r="F57" s="53"/>
      <c r="G57" s="41">
        <v>0</v>
      </c>
      <c r="H57" s="53"/>
    </row>
    <row r="58" spans="2:8" ht="22.5" outlineLevel="1">
      <c r="B58" s="10" t="s">
        <v>42</v>
      </c>
      <c r="C58" s="13">
        <v>0</v>
      </c>
      <c r="D58" s="53"/>
      <c r="E58" s="41">
        <v>0</v>
      </c>
      <c r="F58" s="53"/>
      <c r="G58" s="41">
        <v>0</v>
      </c>
      <c r="H58" s="53"/>
    </row>
    <row r="59" spans="2:8" outlineLevel="1">
      <c r="B59" s="10" t="s">
        <v>43</v>
      </c>
      <c r="C59" s="13">
        <v>149693.87755102041</v>
      </c>
      <c r="D59" s="53">
        <f t="shared" si="2"/>
        <v>3.8715634188175923E-3</v>
      </c>
      <c r="E59" s="41">
        <v>533202.6130653267</v>
      </c>
      <c r="F59" s="53">
        <f t="shared" si="0"/>
        <v>1.4050955754497831E-2</v>
      </c>
      <c r="G59" s="41">
        <v>226688.58061921992</v>
      </c>
      <c r="H59" s="53">
        <f t="shared" si="1"/>
        <v>6.5502034369918933E-3</v>
      </c>
    </row>
    <row r="60" spans="2:8" ht="15.75" thickBot="1">
      <c r="B60" s="5" t="s">
        <v>44</v>
      </c>
      <c r="C60" s="16">
        <v>0</v>
      </c>
      <c r="D60" s="54"/>
      <c r="E60" s="42">
        <v>0</v>
      </c>
      <c r="F60" s="54"/>
      <c r="G60" s="42">
        <v>0</v>
      </c>
      <c r="H60" s="54">
        <f t="shared" si="1"/>
        <v>0</v>
      </c>
    </row>
    <row r="61" spans="2:8" outlineLevel="1">
      <c r="B61" s="10" t="s">
        <v>45</v>
      </c>
      <c r="C61" s="13">
        <v>0</v>
      </c>
      <c r="D61" s="53"/>
      <c r="E61" s="41">
        <v>0</v>
      </c>
      <c r="F61" s="53"/>
      <c r="G61" s="41">
        <v>0</v>
      </c>
      <c r="H61" s="53"/>
    </row>
    <row r="62" spans="2:8" outlineLevel="1">
      <c r="B62" s="10" t="s">
        <v>46</v>
      </c>
      <c r="C62" s="11">
        <v>0</v>
      </c>
      <c r="D62" s="51"/>
      <c r="E62" s="40">
        <v>0</v>
      </c>
      <c r="F62" s="51"/>
      <c r="G62" s="40">
        <v>0</v>
      </c>
      <c r="H62" s="51"/>
    </row>
    <row r="63" spans="2:8" ht="23.25" thickBot="1">
      <c r="B63" s="5" t="s">
        <v>47</v>
      </c>
      <c r="C63" s="16">
        <v>36168822.994544357</v>
      </c>
      <c r="D63" s="54">
        <f t="shared" si="2"/>
        <v>0.93544167803148714</v>
      </c>
      <c r="E63" s="42">
        <v>36203734.070351765</v>
      </c>
      <c r="F63" s="54">
        <f t="shared" si="0"/>
        <v>0.95404083383176141</v>
      </c>
      <c r="G63" s="42">
        <v>34055997.185363889</v>
      </c>
      <c r="H63" s="54">
        <f t="shared" si="1"/>
        <v>0.98405358225108297</v>
      </c>
    </row>
    <row r="64" spans="2:8" outlineLevel="1">
      <c r="B64" s="17" t="s">
        <v>48</v>
      </c>
      <c r="C64" s="9">
        <v>0</v>
      </c>
      <c r="D64" s="50"/>
      <c r="E64" s="39">
        <v>0</v>
      </c>
      <c r="F64" s="50"/>
      <c r="G64" s="39">
        <v>0</v>
      </c>
      <c r="H64" s="50"/>
    </row>
    <row r="65" spans="2:8">
      <c r="B65" s="5" t="s">
        <v>49</v>
      </c>
      <c r="C65" s="9">
        <v>2496145.4839361487</v>
      </c>
      <c r="D65" s="50">
        <f t="shared" si="2"/>
        <v>6.4558321968512952E-2</v>
      </c>
      <c r="E65" s="39">
        <v>1744048.4422110554</v>
      </c>
      <c r="F65" s="50">
        <f t="shared" si="0"/>
        <v>4.5959166168238655E-2</v>
      </c>
      <c r="G65" s="39">
        <v>551871.53196622431</v>
      </c>
      <c r="H65" s="50">
        <f t="shared" si="1"/>
        <v>1.5946417748917058E-2</v>
      </c>
    </row>
    <row r="66" spans="2:8" outlineLevel="1">
      <c r="B66" s="5" t="s">
        <v>50</v>
      </c>
      <c r="C66" s="9">
        <v>0</v>
      </c>
      <c r="D66" s="50"/>
      <c r="E66" s="39">
        <v>0</v>
      </c>
      <c r="F66" s="50"/>
      <c r="G66" s="39">
        <v>0</v>
      </c>
      <c r="H66" s="50"/>
    </row>
    <row r="67" spans="2:8" outlineLevel="1">
      <c r="B67" s="10" t="s">
        <v>76</v>
      </c>
      <c r="C67" s="13">
        <v>0</v>
      </c>
      <c r="D67" s="53"/>
      <c r="E67" s="41">
        <v>0</v>
      </c>
      <c r="F67" s="53"/>
      <c r="G67" s="41">
        <v>0</v>
      </c>
      <c r="H67" s="53"/>
    </row>
    <row r="68" spans="2:8" outlineLevel="1">
      <c r="B68" s="12" t="s">
        <v>51</v>
      </c>
      <c r="C68" s="18">
        <v>0</v>
      </c>
      <c r="D68" s="55"/>
      <c r="E68" s="43">
        <v>0</v>
      </c>
      <c r="F68" s="55"/>
      <c r="G68" s="43">
        <v>0</v>
      </c>
      <c r="H68" s="55"/>
    </row>
    <row r="69" spans="2:8">
      <c r="B69" s="63" t="s">
        <v>206</v>
      </c>
      <c r="C69" s="9"/>
      <c r="D69" s="50"/>
      <c r="E69" s="64">
        <f>E65/C65-1</f>
        <v>-0.30130336815910197</v>
      </c>
      <c r="F69" s="50"/>
      <c r="G69" s="64">
        <f>G65/E65-1</f>
        <v>-0.68356869074887783</v>
      </c>
      <c r="H69" s="50"/>
    </row>
    <row r="70" spans="2:8">
      <c r="B70" s="10" t="s">
        <v>77</v>
      </c>
      <c r="C70" s="13">
        <v>73234.18872499495</v>
      </c>
      <c r="D70" s="53">
        <f t="shared" si="2"/>
        <v>1.8940708244920567E-3</v>
      </c>
      <c r="E70" s="41">
        <v>232947.53768844221</v>
      </c>
      <c r="F70" s="53">
        <f t="shared" si="0"/>
        <v>6.1386337294234167E-3</v>
      </c>
      <c r="G70" s="41">
        <v>228424.40691596299</v>
      </c>
      <c r="H70" s="53">
        <f t="shared" si="1"/>
        <v>6.6003604203912734E-3</v>
      </c>
    </row>
    <row r="71" spans="2:8">
      <c r="B71" s="12" t="s">
        <v>52</v>
      </c>
      <c r="C71" s="18">
        <v>21972.396443726007</v>
      </c>
      <c r="D71" s="55">
        <f t="shared" si="2"/>
        <v>5.6827659011166748E-4</v>
      </c>
      <c r="E71" s="43">
        <v>209530.25125628142</v>
      </c>
      <c r="F71" s="55">
        <f t="shared" si="0"/>
        <v>5.521541375623603E-3</v>
      </c>
      <c r="G71" s="43">
        <v>195674.1053478086</v>
      </c>
      <c r="H71" s="55">
        <f t="shared" si="1"/>
        <v>5.6540351255384737E-3</v>
      </c>
    </row>
    <row r="72" spans="2:8" ht="22.5">
      <c r="B72" s="10" t="s">
        <v>78</v>
      </c>
      <c r="C72" s="13">
        <v>0</v>
      </c>
      <c r="D72" s="53"/>
      <c r="E72" s="41">
        <v>0</v>
      </c>
      <c r="F72" s="53"/>
      <c r="G72" s="41">
        <v>0</v>
      </c>
      <c r="H72" s="53"/>
    </row>
    <row r="73" spans="2:8">
      <c r="B73" s="10" t="s">
        <v>79</v>
      </c>
      <c r="C73" s="13">
        <v>506588.4016973126</v>
      </c>
      <c r="D73" s="53">
        <f t="shared" si="2"/>
        <v>1.3101999604092812E-2</v>
      </c>
      <c r="E73" s="41">
        <v>541952.96482412063</v>
      </c>
      <c r="F73" s="53">
        <f t="shared" si="0"/>
        <v>1.4281545032168986E-2</v>
      </c>
      <c r="G73" s="41">
        <v>182803.3775633293</v>
      </c>
      <c r="H73" s="53">
        <f t="shared" si="1"/>
        <v>5.2821333511297482E-3</v>
      </c>
    </row>
    <row r="74" spans="2:8" outlineLevel="1">
      <c r="B74" s="12" t="s">
        <v>53</v>
      </c>
      <c r="C74" s="13">
        <v>0</v>
      </c>
      <c r="D74" s="53"/>
      <c r="E74" s="41">
        <v>0</v>
      </c>
      <c r="F74" s="53"/>
      <c r="G74" s="41">
        <v>0</v>
      </c>
      <c r="H74" s="53"/>
    </row>
    <row r="75" spans="2:8">
      <c r="B75" s="5" t="s">
        <v>54</v>
      </c>
      <c r="C75" s="9">
        <v>579822.59042230761</v>
      </c>
      <c r="D75" s="50">
        <f t="shared" si="2"/>
        <v>1.4996070428584869E-2</v>
      </c>
      <c r="E75" s="39">
        <v>774900.5025125629</v>
      </c>
      <c r="F75" s="50">
        <f t="shared" si="0"/>
        <v>2.0420178761592404E-2</v>
      </c>
      <c r="G75" s="39">
        <v>411227.78447929228</v>
      </c>
      <c r="H75" s="50">
        <f t="shared" si="1"/>
        <v>1.1882493771521022E-2</v>
      </c>
    </row>
    <row r="76" spans="2:8" ht="23.25" thickBot="1">
      <c r="B76" s="10" t="s">
        <v>80</v>
      </c>
      <c r="C76" s="19">
        <v>0</v>
      </c>
      <c r="D76" s="56"/>
      <c r="E76" s="44">
        <v>0</v>
      </c>
      <c r="F76" s="56"/>
      <c r="G76" s="44">
        <v>0</v>
      </c>
      <c r="H76" s="56">
        <f t="shared" si="1"/>
        <v>0</v>
      </c>
    </row>
    <row r="77" spans="2:8" outlineLevel="1">
      <c r="B77" s="10" t="s">
        <v>55</v>
      </c>
      <c r="C77" s="13">
        <v>0</v>
      </c>
      <c r="D77" s="53"/>
      <c r="E77" s="41">
        <v>0</v>
      </c>
      <c r="F77" s="53"/>
      <c r="G77" s="41">
        <v>0</v>
      </c>
      <c r="H77" s="53"/>
    </row>
    <row r="78" spans="2:8" outlineLevel="1">
      <c r="B78" s="10" t="s">
        <v>56</v>
      </c>
      <c r="C78" s="13">
        <v>0</v>
      </c>
      <c r="D78" s="53"/>
      <c r="E78" s="41">
        <v>0</v>
      </c>
      <c r="F78" s="53"/>
      <c r="G78" s="41">
        <v>0</v>
      </c>
      <c r="H78" s="53"/>
    </row>
    <row r="79" spans="2:8">
      <c r="B79" s="10" t="s">
        <v>81</v>
      </c>
      <c r="C79" s="13">
        <v>281040.00808244088</v>
      </c>
      <c r="D79" s="53">
        <f t="shared" si="2"/>
        <v>7.2685952980630873E-3</v>
      </c>
      <c r="E79" s="41">
        <v>407228.74371859297</v>
      </c>
      <c r="F79" s="53">
        <f t="shared" si="0"/>
        <v>1.0731292232524461E-2</v>
      </c>
      <c r="G79" s="41">
        <v>333678.52834740648</v>
      </c>
      <c r="H79" s="53">
        <f t="shared" si="1"/>
        <v>9.6416953922480297E-3</v>
      </c>
    </row>
    <row r="80" spans="2:8" outlineLevel="1">
      <c r="B80" s="10" t="s">
        <v>36</v>
      </c>
      <c r="C80" s="18">
        <v>465.34653465346537</v>
      </c>
      <c r="D80" s="55">
        <f t="shared" si="2"/>
        <v>1.2035352748637572E-5</v>
      </c>
      <c r="E80" s="43">
        <v>0</v>
      </c>
      <c r="F80" s="55"/>
      <c r="G80" s="43">
        <v>0</v>
      </c>
      <c r="H80" s="55"/>
    </row>
    <row r="81" spans="2:8">
      <c r="B81" s="10" t="s">
        <v>82</v>
      </c>
      <c r="C81" s="13">
        <v>455423.11578096589</v>
      </c>
      <c r="D81" s="53">
        <f t="shared" si="2"/>
        <v>1.1778701333597041E-2</v>
      </c>
      <c r="E81" s="41">
        <v>549921.00502512569</v>
      </c>
      <c r="F81" s="53">
        <f t="shared" si="0"/>
        <v>1.4491518834943026E-2</v>
      </c>
      <c r="G81" s="41">
        <v>137559.10735826296</v>
      </c>
      <c r="H81" s="53">
        <f t="shared" si="1"/>
        <v>3.9747927987654249E-3</v>
      </c>
    </row>
    <row r="82" spans="2:8">
      <c r="B82" s="5" t="s">
        <v>57</v>
      </c>
      <c r="C82" s="9">
        <v>736463.12386340683</v>
      </c>
      <c r="D82" s="50">
        <f t="shared" si="2"/>
        <v>1.9047296631660132E-2</v>
      </c>
      <c r="E82" s="39">
        <v>957149.74874371861</v>
      </c>
      <c r="F82" s="50">
        <f t="shared" si="0"/>
        <v>2.5222811067467488E-2</v>
      </c>
      <c r="G82" s="39">
        <v>471237.63570566947</v>
      </c>
      <c r="H82" s="50">
        <f t="shared" si="1"/>
        <v>1.3616488191013456E-2</v>
      </c>
    </row>
    <row r="83" spans="2:8" outlineLevel="1">
      <c r="B83" s="10" t="s">
        <v>58</v>
      </c>
      <c r="C83" s="9">
        <v>0</v>
      </c>
      <c r="D83" s="50"/>
      <c r="E83" s="39">
        <v>0</v>
      </c>
      <c r="F83" s="50"/>
      <c r="G83" s="39">
        <v>0</v>
      </c>
      <c r="H83" s="50"/>
    </row>
    <row r="84" spans="2:8" outlineLevel="1">
      <c r="B84" s="10" t="s">
        <v>59</v>
      </c>
      <c r="C84" s="9">
        <v>156640.53344109922</v>
      </c>
      <c r="D84" s="50">
        <f t="shared" si="2"/>
        <v>4.0512262030752613E-3</v>
      </c>
      <c r="E84" s="39">
        <v>182249.24623115579</v>
      </c>
      <c r="F84" s="50">
        <f t="shared" si="0"/>
        <v>4.8026323058750851E-3</v>
      </c>
      <c r="G84" s="39">
        <v>60009.851226377155</v>
      </c>
      <c r="H84" s="50">
        <f t="shared" si="1"/>
        <v>1.7339944194924327E-3</v>
      </c>
    </row>
    <row r="85" spans="2:8">
      <c r="B85" s="5" t="s">
        <v>60</v>
      </c>
      <c r="C85" s="9">
        <v>39244791.068902813</v>
      </c>
      <c r="D85" s="50">
        <f>$C85/$C$24</f>
        <v>1.014996070428585</v>
      </c>
      <c r="E85" s="39">
        <v>38722683.015075378</v>
      </c>
      <c r="F85" s="50">
        <f t="shared" si="0"/>
        <v>1.0204201787615923</v>
      </c>
      <c r="G85" s="39">
        <v>35019096.501809411</v>
      </c>
      <c r="H85" s="50">
        <f t="shared" si="1"/>
        <v>1.0118824937715212</v>
      </c>
    </row>
    <row r="86" spans="2:8">
      <c r="B86" s="5" t="s">
        <v>61</v>
      </c>
      <c r="C86" s="9">
        <v>36905286.118407764</v>
      </c>
      <c r="D86" s="68">
        <f t="shared" si="2"/>
        <v>0.95448897466314719</v>
      </c>
      <c r="E86" s="39">
        <v>37160883.819095477</v>
      </c>
      <c r="F86" s="68">
        <f t="shared" si="0"/>
        <v>0.97926364489922868</v>
      </c>
      <c r="G86" s="39">
        <v>34527234.821069561</v>
      </c>
      <c r="H86" s="68">
        <f t="shared" si="1"/>
        <v>0.99767007044209643</v>
      </c>
    </row>
    <row r="87" spans="2:8" outlineLevel="1">
      <c r="B87" s="17" t="s">
        <v>62</v>
      </c>
      <c r="C87" s="13">
        <v>0</v>
      </c>
      <c r="D87" s="53"/>
      <c r="E87" s="41">
        <v>0</v>
      </c>
      <c r="F87" s="53"/>
      <c r="G87" s="41">
        <v>0</v>
      </c>
      <c r="H87" s="53"/>
    </row>
    <row r="88" spans="2:8">
      <c r="B88" s="10" t="s">
        <v>63</v>
      </c>
      <c r="C88" s="13">
        <v>2339504.9504950494</v>
      </c>
      <c r="D88" s="53">
        <f t="shared" si="2"/>
        <v>6.0507095765437689E-2</v>
      </c>
      <c r="E88" s="41">
        <v>1561799.1959798995</v>
      </c>
      <c r="F88" s="53">
        <f t="shared" si="0"/>
        <v>4.1156533862363565E-2</v>
      </c>
      <c r="G88" s="41">
        <v>491861.68073984719</v>
      </c>
      <c r="H88" s="53">
        <f t="shared" si="1"/>
        <v>1.4212423329424625E-2</v>
      </c>
    </row>
    <row r="89" spans="2:8" outlineLevel="1">
      <c r="B89" s="10" t="s">
        <v>64</v>
      </c>
      <c r="C89" s="13">
        <v>0</v>
      </c>
      <c r="D89" s="53"/>
      <c r="E89" s="41">
        <v>0</v>
      </c>
      <c r="F89" s="53"/>
      <c r="G89" s="41">
        <v>0</v>
      </c>
      <c r="H89" s="53"/>
    </row>
    <row r="90" spans="2:8">
      <c r="B90" s="5" t="s">
        <v>65</v>
      </c>
      <c r="C90" s="9">
        <v>364367.75106082036</v>
      </c>
      <c r="D90" s="50">
        <f t="shared" si="2"/>
        <v>9.4237177838025141E-3</v>
      </c>
      <c r="E90" s="39">
        <v>270599.79899497487</v>
      </c>
      <c r="F90" s="50">
        <f t="shared" si="0"/>
        <v>7.1308461543277621E-3</v>
      </c>
      <c r="G90" s="39">
        <v>132156.41334941695</v>
      </c>
      <c r="H90" s="50">
        <f t="shared" si="1"/>
        <v>3.8186810759380505E-3</v>
      </c>
    </row>
    <row r="91" spans="2:8" outlineLevel="1">
      <c r="B91" s="20"/>
      <c r="C91" s="9">
        <v>0</v>
      </c>
      <c r="D91" s="50"/>
      <c r="E91" s="39">
        <v>0</v>
      </c>
      <c r="F91" s="50"/>
      <c r="G91" s="39">
        <v>0</v>
      </c>
      <c r="H91" s="50"/>
    </row>
    <row r="92" spans="2:8" ht="22.5" outlineLevel="1">
      <c r="B92" s="10" t="s">
        <v>83</v>
      </c>
      <c r="C92" s="9">
        <v>0</v>
      </c>
      <c r="D92" s="50"/>
      <c r="E92" s="39">
        <v>0</v>
      </c>
      <c r="F92" s="50"/>
      <c r="G92" s="39">
        <v>0</v>
      </c>
      <c r="H92" s="50"/>
    </row>
    <row r="93" spans="2:8" outlineLevel="1">
      <c r="B93" s="10"/>
      <c r="C93" s="9">
        <v>0</v>
      </c>
      <c r="D93" s="50"/>
      <c r="E93" s="39">
        <v>0</v>
      </c>
      <c r="F93" s="50"/>
      <c r="G93" s="39">
        <v>0</v>
      </c>
      <c r="H93" s="50"/>
    </row>
    <row r="94" spans="2:8" ht="22.5" outlineLevel="1">
      <c r="B94" s="10" t="s">
        <v>84</v>
      </c>
      <c r="C94" s="9">
        <v>0</v>
      </c>
      <c r="D94" s="50"/>
      <c r="E94" s="39">
        <v>0</v>
      </c>
      <c r="F94" s="50"/>
      <c r="G94" s="39">
        <v>0</v>
      </c>
      <c r="H94" s="50"/>
    </row>
    <row r="95" spans="2:8" outlineLevel="1">
      <c r="B95" s="5"/>
      <c r="C95" s="9">
        <v>0</v>
      </c>
      <c r="D95" s="50"/>
      <c r="E95" s="39">
        <v>0</v>
      </c>
      <c r="F95" s="50"/>
      <c r="G95" s="39">
        <v>0</v>
      </c>
      <c r="H95" s="50"/>
    </row>
    <row r="96" spans="2:8" ht="22.5">
      <c r="B96" s="5" t="s">
        <v>85</v>
      </c>
      <c r="C96" s="9">
        <v>0</v>
      </c>
      <c r="D96" s="50"/>
      <c r="E96" s="39">
        <v>0</v>
      </c>
      <c r="F96" s="50"/>
      <c r="G96" s="39">
        <v>0</v>
      </c>
      <c r="H96" s="50"/>
    </row>
    <row r="97" spans="2:8">
      <c r="B97" s="5" t="s">
        <v>86</v>
      </c>
      <c r="C97" s="9">
        <v>0</v>
      </c>
      <c r="D97" s="50"/>
      <c r="E97" s="39">
        <v>0</v>
      </c>
      <c r="F97" s="50"/>
      <c r="G97" s="39">
        <v>0</v>
      </c>
      <c r="H97" s="50"/>
    </row>
    <row r="98" spans="2:8" ht="22.5">
      <c r="B98" s="12" t="s">
        <v>87</v>
      </c>
      <c r="C98" s="9">
        <v>1975137.1994342292</v>
      </c>
      <c r="D98" s="50">
        <f t="shared" si="2"/>
        <v>5.1083377981635182E-2</v>
      </c>
      <c r="E98" s="39">
        <v>1291199.3969849248</v>
      </c>
      <c r="F98" s="50">
        <f t="shared" ref="F98" si="3">$E98/$E$24</f>
        <v>3.4025687708035803E-2</v>
      </c>
      <c r="G98" s="39">
        <v>359705.26739043021</v>
      </c>
      <c r="H98" s="50">
        <f t="shared" ref="H98" si="4">$G98/$G$24</f>
        <v>1.0393742253486575E-2</v>
      </c>
    </row>
    <row r="99" spans="2:8" ht="23.25" outlineLevel="1" thickBot="1">
      <c r="B99" s="12" t="s">
        <v>66</v>
      </c>
      <c r="C99" s="21">
        <v>0</v>
      </c>
      <c r="D99" s="57"/>
      <c r="E99" s="21">
        <v>0</v>
      </c>
      <c r="F99" s="57"/>
      <c r="G99" s="21">
        <v>0</v>
      </c>
      <c r="H99" s="57"/>
    </row>
    <row r="100" spans="2:8">
      <c r="B100" s="63" t="s">
        <v>206</v>
      </c>
      <c r="C100" s="9"/>
      <c r="D100" s="50"/>
      <c r="E100" s="64">
        <f>E98/C98-1</f>
        <v>-0.34627356653766428</v>
      </c>
      <c r="F100" s="50"/>
      <c r="G100" s="64">
        <f>G98/E98-1</f>
        <v>-0.72141772352870004</v>
      </c>
      <c r="H100" s="50"/>
    </row>
    <row r="101" spans="2:8">
      <c r="B101" s="22"/>
      <c r="C101" s="18"/>
      <c r="D101" s="55"/>
      <c r="E101" s="18"/>
      <c r="F101" s="55"/>
      <c r="G101" s="18"/>
      <c r="H101" s="55"/>
    </row>
    <row r="102" spans="2:8">
      <c r="C102" s="65"/>
    </row>
    <row r="104" spans="2:8">
      <c r="B104" s="115" t="s">
        <v>211</v>
      </c>
      <c r="C104" s="116">
        <f>C98+C90+C82-C75</f>
        <v>2496145.4839361487</v>
      </c>
      <c r="D104" s="116"/>
      <c r="E104" s="116">
        <f t="shared" ref="E104:G104" si="5">E98+E90+E82-E75</f>
        <v>1744048.4422110552</v>
      </c>
      <c r="F104" s="116"/>
      <c r="G104" s="116">
        <f t="shared" si="5"/>
        <v>551871.53196622431</v>
      </c>
      <c r="H104" s="65"/>
    </row>
    <row r="105" spans="2:8">
      <c r="C105" s="114">
        <f>C104/C24</f>
        <v>6.4558321968512952E-2</v>
      </c>
      <c r="D105" s="114"/>
      <c r="E105" s="114">
        <f t="shared" ref="E105:G105" si="6">E104/E24</f>
        <v>4.5959166168238648E-2</v>
      </c>
      <c r="F105" s="114"/>
      <c r="G105" s="114">
        <f t="shared" si="6"/>
        <v>1.5946417748917058E-2</v>
      </c>
      <c r="H105" s="65"/>
    </row>
    <row r="106" spans="2:8">
      <c r="B106" s="115" t="s">
        <v>212</v>
      </c>
      <c r="C106" s="116">
        <f>C104+C37</f>
        <v>5356188.7249949481</v>
      </c>
      <c r="D106" s="116"/>
      <c r="E106" s="116">
        <f>E104+E37</f>
        <v>4654433.567839196</v>
      </c>
      <c r="F106" s="116"/>
      <c r="G106" s="116">
        <f>G104+G37</f>
        <v>3053975.6735022115</v>
      </c>
    </row>
    <row r="107" spans="2:8">
      <c r="C107" s="114">
        <f>C106/C24</f>
        <v>0.13852820617133066</v>
      </c>
      <c r="D107" s="114"/>
      <c r="E107" s="114">
        <f t="shared" ref="E107:G107" si="7">E106/E24</f>
        <v>0.1226536377006567</v>
      </c>
      <c r="F107" s="114"/>
      <c r="G107" s="114">
        <f t="shared" si="7"/>
        <v>8.824512420705391E-2</v>
      </c>
    </row>
    <row r="109" spans="2:8">
      <c r="B109" s="3" t="s">
        <v>213</v>
      </c>
      <c r="G109" s="116">
        <v>1000000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F3BE2E-9D53-449F-90F2-E7E610692E1E}">
  <dimension ref="B1:N145"/>
  <sheetViews>
    <sheetView showGridLines="0" workbookViewId="0">
      <selection activeCell="L14" sqref="L14"/>
    </sheetView>
  </sheetViews>
  <sheetFormatPr defaultColWidth="11.42578125" defaultRowHeight="15" outlineLevelRow="1" outlineLevelCol="1"/>
  <cols>
    <col min="2" max="2" width="59.140625" style="3" customWidth="1" outlineLevel="1"/>
    <col min="3" max="3" width="15.5703125" style="3" customWidth="1" outlineLevel="1"/>
    <col min="4" max="4" width="7.5703125" style="36" customWidth="1" outlineLevel="1"/>
    <col min="5" max="5" width="15.5703125" style="3" customWidth="1" outlineLevel="1"/>
    <col min="6" max="6" width="7.5703125" style="36" customWidth="1" outlineLevel="1"/>
    <col min="7" max="7" width="15.5703125" style="3" customWidth="1" outlineLevel="1"/>
    <col min="8" max="8" width="7.5703125" style="36" customWidth="1" outlineLevel="1"/>
    <col min="10" max="10" width="11.5703125" bestFit="1" customWidth="1"/>
  </cols>
  <sheetData>
    <row r="1" spans="2:8">
      <c r="B1" s="1"/>
      <c r="C1" s="1"/>
      <c r="D1" s="45"/>
      <c r="E1" s="1"/>
      <c r="F1" s="45"/>
      <c r="G1" s="1"/>
      <c r="H1" s="45"/>
    </row>
    <row r="2" spans="2:8">
      <c r="B2" s="2" t="s">
        <v>67</v>
      </c>
      <c r="C2" s="35" t="s">
        <v>205</v>
      </c>
      <c r="D2" s="46"/>
      <c r="E2" s="35"/>
      <c r="F2" s="46"/>
      <c r="G2" s="35"/>
      <c r="H2" s="46"/>
    </row>
    <row r="3" spans="2:8">
      <c r="B3" s="23"/>
      <c r="C3" s="4" t="s">
        <v>204</v>
      </c>
      <c r="D3" s="47"/>
      <c r="E3" s="58" t="s">
        <v>204</v>
      </c>
      <c r="F3" s="47"/>
      <c r="G3" s="58" t="s">
        <v>204</v>
      </c>
      <c r="H3" s="47"/>
    </row>
    <row r="4" spans="2:8">
      <c r="B4" s="113" t="s">
        <v>210</v>
      </c>
      <c r="C4" s="34">
        <v>46021</v>
      </c>
      <c r="D4" s="37"/>
      <c r="E4" s="59">
        <v>45655</v>
      </c>
      <c r="F4" s="37"/>
      <c r="G4" s="59">
        <v>45657</v>
      </c>
      <c r="H4" s="37"/>
    </row>
    <row r="5" spans="2:8">
      <c r="B5" s="23"/>
      <c r="C5" s="33">
        <v>4.9489999999999998</v>
      </c>
      <c r="D5" s="48"/>
      <c r="E5" s="60">
        <v>4.9749999999999996</v>
      </c>
      <c r="F5" s="48"/>
      <c r="G5" s="60">
        <v>4.9740000000000002</v>
      </c>
      <c r="H5" s="48"/>
    </row>
    <row r="6" spans="2:8">
      <c r="B6" s="23"/>
      <c r="C6" s="33"/>
      <c r="D6" s="48"/>
      <c r="E6" s="58"/>
      <c r="F6" s="48"/>
      <c r="G6" s="58"/>
      <c r="H6" s="48"/>
    </row>
    <row r="7" spans="2:8" ht="33.75">
      <c r="B7" s="7" t="s">
        <v>0</v>
      </c>
      <c r="C7" s="8" t="s">
        <v>89</v>
      </c>
      <c r="D7" s="38"/>
      <c r="E7" s="69" t="s">
        <v>90</v>
      </c>
      <c r="F7" s="38"/>
      <c r="G7" s="69" t="s">
        <v>203</v>
      </c>
      <c r="H7" s="38"/>
    </row>
    <row r="8" spans="2:8">
      <c r="B8" s="5" t="s">
        <v>91</v>
      </c>
      <c r="C8" s="24"/>
      <c r="D8" s="90"/>
      <c r="E8" s="24"/>
      <c r="F8" s="90"/>
      <c r="G8" s="70"/>
      <c r="H8" s="90"/>
    </row>
    <row r="9" spans="2:8">
      <c r="B9" s="5" t="s">
        <v>92</v>
      </c>
      <c r="C9" s="24"/>
      <c r="D9" s="90"/>
      <c r="E9" s="24"/>
      <c r="F9" s="90"/>
      <c r="G9" s="70"/>
      <c r="H9" s="90"/>
    </row>
    <row r="10" spans="2:8" outlineLevel="1">
      <c r="B10" s="10" t="s">
        <v>93</v>
      </c>
      <c r="C10" s="25">
        <v>0</v>
      </c>
      <c r="D10" s="75"/>
      <c r="E10" s="27">
        <v>0</v>
      </c>
      <c r="F10" s="75"/>
      <c r="G10" s="71">
        <v>0</v>
      </c>
      <c r="H10" s="75"/>
    </row>
    <row r="11" spans="2:8" outlineLevel="1">
      <c r="B11" s="10" t="s">
        <v>94</v>
      </c>
      <c r="C11" s="25">
        <v>0</v>
      </c>
      <c r="D11" s="75"/>
      <c r="E11" s="27">
        <v>0</v>
      </c>
      <c r="F11" s="75"/>
      <c r="G11" s="71">
        <v>0</v>
      </c>
      <c r="H11" s="75"/>
    </row>
    <row r="12" spans="2:8" ht="22.5" outlineLevel="1">
      <c r="B12" s="10" t="s">
        <v>95</v>
      </c>
      <c r="C12" s="25">
        <v>4011.3154172560116</v>
      </c>
      <c r="D12" s="76">
        <f>C12/C37</f>
        <v>4.1856633944401819E-4</v>
      </c>
      <c r="E12" s="27">
        <v>25585.527638190957</v>
      </c>
      <c r="F12" s="76">
        <f>E12/E37</f>
        <v>3.4451766187570555E-3</v>
      </c>
      <c r="G12" s="71">
        <v>19983.514274225974</v>
      </c>
      <c r="H12" s="76">
        <f>G12/G37</f>
        <v>3.8357812657676838E-3</v>
      </c>
    </row>
    <row r="13" spans="2:8" outlineLevel="1">
      <c r="B13" s="10" t="s">
        <v>96</v>
      </c>
      <c r="C13" s="25">
        <v>0</v>
      </c>
      <c r="D13" s="75"/>
      <c r="E13" s="27">
        <v>0</v>
      </c>
      <c r="F13" s="75"/>
      <c r="G13" s="71">
        <v>0</v>
      </c>
      <c r="H13" s="75"/>
    </row>
    <row r="14" spans="2:8" ht="22.5" outlineLevel="1">
      <c r="B14" s="10" t="s">
        <v>97</v>
      </c>
      <c r="C14" s="25">
        <v>0</v>
      </c>
      <c r="D14" s="75"/>
      <c r="E14" s="27">
        <v>0</v>
      </c>
      <c r="F14" s="75"/>
      <c r="G14" s="71">
        <v>0</v>
      </c>
      <c r="H14" s="75"/>
    </row>
    <row r="15" spans="2:8" outlineLevel="1">
      <c r="B15" s="10" t="s">
        <v>98</v>
      </c>
      <c r="C15" s="25">
        <v>0</v>
      </c>
      <c r="D15" s="75"/>
      <c r="E15" s="27">
        <v>0</v>
      </c>
      <c r="F15" s="75"/>
      <c r="G15" s="71">
        <v>0</v>
      </c>
      <c r="H15" s="75"/>
    </row>
    <row r="16" spans="2:8" ht="15.75" thickBot="1">
      <c r="B16" s="77" t="s">
        <v>99</v>
      </c>
      <c r="C16" s="80">
        <v>4011.3154172560116</v>
      </c>
      <c r="D16" s="89">
        <f>C16/C66</f>
        <v>1.9013008596663076E-4</v>
      </c>
      <c r="E16" s="80">
        <v>25585.527638190957</v>
      </c>
      <c r="F16" s="89">
        <f>E16/E66</f>
        <v>1.3602633008435571E-3</v>
      </c>
      <c r="G16" s="81">
        <v>19983.514274225974</v>
      </c>
      <c r="H16" s="89">
        <f>G16/G66</f>
        <v>1.2980412920205577E-3</v>
      </c>
    </row>
    <row r="17" spans="2:8">
      <c r="B17" s="5" t="s">
        <v>100</v>
      </c>
      <c r="C17" s="27">
        <v>0</v>
      </c>
      <c r="D17" s="75"/>
      <c r="E17" s="27">
        <v>0</v>
      </c>
      <c r="F17" s="75"/>
      <c r="G17" s="71">
        <v>0</v>
      </c>
      <c r="H17" s="75"/>
    </row>
    <row r="18" spans="2:8">
      <c r="B18" s="10" t="s">
        <v>101</v>
      </c>
      <c r="C18" s="25">
        <v>1523198.8280460699</v>
      </c>
      <c r="D18" s="75">
        <f>$C18/$C$66</f>
        <v>7.2197245540660801E-2</v>
      </c>
      <c r="E18" s="27">
        <v>1452865.5276381911</v>
      </c>
      <c r="F18" s="75">
        <f>$E18/$E$66</f>
        <v>7.7242091163951324E-2</v>
      </c>
      <c r="G18" s="71">
        <v>1370667.6718938479</v>
      </c>
      <c r="H18" s="75">
        <f>$G18/$G$66</f>
        <v>8.9032550098088969E-2</v>
      </c>
    </row>
    <row r="19" spans="2:8">
      <c r="B19" s="10" t="s">
        <v>102</v>
      </c>
      <c r="C19" s="103">
        <v>7850724.7928874521</v>
      </c>
      <c r="D19" s="106">
        <f>$C19/$C$66</f>
        <v>0.37211209404049356</v>
      </c>
      <c r="E19" s="104">
        <v>5860386.3316582916</v>
      </c>
      <c r="F19" s="106">
        <f t="shared" ref="F19:F63" si="0">$E19/$E$66</f>
        <v>0.31156943755269045</v>
      </c>
      <c r="G19" s="105">
        <v>3554067.9533574586</v>
      </c>
      <c r="H19" s="106">
        <f t="shared" ref="H19:H63" si="1">$G19/$G$66</f>
        <v>0.23085663986814769</v>
      </c>
    </row>
    <row r="20" spans="2:8" outlineLevel="1">
      <c r="B20" s="10" t="s">
        <v>103</v>
      </c>
      <c r="C20" s="25">
        <v>76867.447969286732</v>
      </c>
      <c r="D20" s="75">
        <f t="shared" ref="D20:D63" si="2">$C20/$C$66</f>
        <v>3.643396983335068E-3</v>
      </c>
      <c r="E20" s="27">
        <v>77261.708542713575</v>
      </c>
      <c r="F20" s="75">
        <f t="shared" si="0"/>
        <v>4.1076450787846767E-3</v>
      </c>
      <c r="G20" s="71">
        <v>154964.817048653</v>
      </c>
      <c r="H20" s="75">
        <f t="shared" si="1"/>
        <v>1.006583369567784E-2</v>
      </c>
    </row>
    <row r="21" spans="2:8" outlineLevel="1">
      <c r="B21" s="10" t="s">
        <v>104</v>
      </c>
      <c r="C21" s="25">
        <v>0</v>
      </c>
      <c r="D21" s="75"/>
      <c r="E21" s="27">
        <v>0</v>
      </c>
      <c r="F21" s="75"/>
      <c r="G21" s="71">
        <v>0</v>
      </c>
      <c r="H21" s="75"/>
    </row>
    <row r="22" spans="2:8" outlineLevel="1">
      <c r="B22" s="10" t="s">
        <v>105</v>
      </c>
      <c r="C22" s="25">
        <v>4992.5237421701358</v>
      </c>
      <c r="D22" s="75">
        <f t="shared" si="2"/>
        <v>2.3663782813134759E-4</v>
      </c>
      <c r="E22" s="27">
        <v>0</v>
      </c>
      <c r="F22" s="75"/>
      <c r="G22" s="71">
        <v>0</v>
      </c>
      <c r="H22" s="75"/>
    </row>
    <row r="23" spans="2:8" outlineLevel="1">
      <c r="B23" s="10" t="s">
        <v>106</v>
      </c>
      <c r="C23" s="25">
        <v>0</v>
      </c>
      <c r="D23" s="75"/>
      <c r="E23" s="27">
        <v>0</v>
      </c>
      <c r="F23" s="75"/>
      <c r="G23" s="71">
        <v>0</v>
      </c>
      <c r="H23" s="75"/>
    </row>
    <row r="24" spans="2:8" ht="22.5" outlineLevel="1">
      <c r="B24" s="10" t="s">
        <v>107</v>
      </c>
      <c r="C24" s="25">
        <v>0</v>
      </c>
      <c r="D24" s="75"/>
      <c r="E24" s="27">
        <v>0</v>
      </c>
      <c r="F24" s="75"/>
      <c r="G24" s="71">
        <v>0</v>
      </c>
      <c r="H24" s="75"/>
    </row>
    <row r="25" spans="2:8" outlineLevel="1">
      <c r="B25" s="10" t="s">
        <v>108</v>
      </c>
      <c r="C25" s="25">
        <v>0</v>
      </c>
      <c r="D25" s="75"/>
      <c r="E25" s="27">
        <v>0</v>
      </c>
      <c r="F25" s="75"/>
      <c r="G25" s="71">
        <v>0</v>
      </c>
      <c r="H25" s="75"/>
    </row>
    <row r="26" spans="2:8" outlineLevel="1">
      <c r="B26" s="10" t="s">
        <v>109</v>
      </c>
      <c r="C26" s="25">
        <v>120859.56758941201</v>
      </c>
      <c r="D26" s="75">
        <f t="shared" si="2"/>
        <v>5.7285547471068263E-3</v>
      </c>
      <c r="E26" s="27">
        <v>0</v>
      </c>
      <c r="F26" s="75"/>
      <c r="G26" s="71">
        <v>100002.01045436268</v>
      </c>
      <c r="H26" s="75">
        <f t="shared" si="1"/>
        <v>6.4956912519763535E-3</v>
      </c>
    </row>
    <row r="27" spans="2:8" ht="15.75" thickBot="1">
      <c r="B27" s="77" t="s">
        <v>110</v>
      </c>
      <c r="C27" s="80">
        <v>9576643.1602343917</v>
      </c>
      <c r="D27" s="89">
        <f t="shared" si="2"/>
        <v>0.45391792913972762</v>
      </c>
      <c r="E27" s="80">
        <v>7390513.5678391969</v>
      </c>
      <c r="F27" s="89">
        <f t="shared" si="0"/>
        <v>0.39291917379542646</v>
      </c>
      <c r="G27" s="81">
        <v>5179702.4527543224</v>
      </c>
      <c r="H27" s="89">
        <f t="shared" si="1"/>
        <v>0.33645071491389089</v>
      </c>
    </row>
    <row r="28" spans="2:8">
      <c r="B28" s="5" t="s">
        <v>111</v>
      </c>
      <c r="C28" s="27">
        <v>0</v>
      </c>
      <c r="D28" s="75"/>
      <c r="E28" s="27">
        <v>0</v>
      </c>
      <c r="F28" s="75"/>
      <c r="G28" s="71">
        <v>0</v>
      </c>
      <c r="H28" s="75"/>
    </row>
    <row r="29" spans="2:8" outlineLevel="1">
      <c r="B29" s="10" t="s">
        <v>112</v>
      </c>
      <c r="C29" s="25">
        <v>0</v>
      </c>
      <c r="D29" s="75"/>
      <c r="E29" s="27">
        <v>0</v>
      </c>
      <c r="F29" s="75"/>
      <c r="G29" s="71">
        <v>0</v>
      </c>
      <c r="H29" s="75"/>
    </row>
    <row r="30" spans="2:8" outlineLevel="1">
      <c r="B30" s="10" t="s">
        <v>113</v>
      </c>
      <c r="C30" s="25">
        <v>0</v>
      </c>
      <c r="D30" s="75"/>
      <c r="E30" s="27">
        <v>0</v>
      </c>
      <c r="F30" s="75"/>
      <c r="G30" s="71">
        <v>0</v>
      </c>
      <c r="H30" s="75"/>
    </row>
    <row r="31" spans="2:8" outlineLevel="1">
      <c r="B31" s="10" t="s">
        <v>114</v>
      </c>
      <c r="C31" s="25">
        <v>0</v>
      </c>
      <c r="D31" s="75"/>
      <c r="E31" s="27">
        <v>0</v>
      </c>
      <c r="F31" s="75"/>
      <c r="G31" s="71">
        <v>0</v>
      </c>
      <c r="H31" s="75"/>
    </row>
    <row r="32" spans="2:8" ht="22.5" outlineLevel="1">
      <c r="B32" s="10" t="s">
        <v>115</v>
      </c>
      <c r="C32" s="25">
        <v>0</v>
      </c>
      <c r="D32" s="75"/>
      <c r="E32" s="27">
        <v>0</v>
      </c>
      <c r="F32" s="75"/>
      <c r="G32" s="71">
        <v>0</v>
      </c>
      <c r="H32" s="75"/>
    </row>
    <row r="33" spans="2:8" outlineLevel="1">
      <c r="B33" s="10" t="s">
        <v>116</v>
      </c>
      <c r="C33" s="27">
        <v>0</v>
      </c>
      <c r="D33" s="75"/>
      <c r="E33" s="27">
        <v>0</v>
      </c>
      <c r="F33" s="75"/>
      <c r="G33" s="71">
        <v>0</v>
      </c>
      <c r="H33" s="75"/>
    </row>
    <row r="34" spans="2:8" outlineLevel="1">
      <c r="B34" s="10" t="s">
        <v>117</v>
      </c>
      <c r="C34" s="27">
        <v>2809.4564558496668</v>
      </c>
      <c r="D34" s="75">
        <f t="shared" si="2"/>
        <v>1.3316384824098499E-4</v>
      </c>
      <c r="E34" s="27">
        <v>10378.693467336685</v>
      </c>
      <c r="F34" s="75">
        <f t="shared" si="0"/>
        <v>5.5178677703912572E-4</v>
      </c>
      <c r="G34" s="71">
        <v>10077.804583835947</v>
      </c>
      <c r="H34" s="75">
        <f t="shared" si="1"/>
        <v>6.5460991011000722E-4</v>
      </c>
    </row>
    <row r="35" spans="2:8">
      <c r="B35" s="77" t="s">
        <v>118</v>
      </c>
      <c r="C35" s="78">
        <v>2809.4564558496668</v>
      </c>
      <c r="D35" s="91">
        <f t="shared" si="2"/>
        <v>1.3316384824098499E-4</v>
      </c>
      <c r="E35" s="78">
        <v>10378.693467336685</v>
      </c>
      <c r="F35" s="91">
        <f t="shared" si="0"/>
        <v>5.5178677703912572E-4</v>
      </c>
      <c r="G35" s="79">
        <v>10077.804583835947</v>
      </c>
      <c r="H35" s="91">
        <f t="shared" si="1"/>
        <v>6.5460991011000722E-4</v>
      </c>
    </row>
    <row r="36" spans="2:8">
      <c r="B36" s="5"/>
      <c r="C36" s="29"/>
      <c r="D36" s="92"/>
      <c r="E36" s="29"/>
      <c r="F36" s="92"/>
      <c r="G36" s="29"/>
      <c r="H36" s="92"/>
    </row>
    <row r="37" spans="2:8">
      <c r="B37" s="77" t="s">
        <v>119</v>
      </c>
      <c r="C37" s="82">
        <v>9583463.932107497</v>
      </c>
      <c r="D37" s="93">
        <f t="shared" si="2"/>
        <v>0.45424122307393522</v>
      </c>
      <c r="E37" s="82">
        <v>7426477.788944724</v>
      </c>
      <c r="F37" s="93">
        <f t="shared" si="0"/>
        <v>0.3948312238733091</v>
      </c>
      <c r="G37" s="83">
        <v>5209763.7716123844</v>
      </c>
      <c r="H37" s="93">
        <f t="shared" si="1"/>
        <v>0.33840336611602145</v>
      </c>
    </row>
    <row r="38" spans="2:8">
      <c r="B38" s="5"/>
      <c r="C38" s="27"/>
      <c r="D38" s="94"/>
      <c r="E38" s="27"/>
      <c r="F38" s="94"/>
      <c r="G38" s="27"/>
      <c r="H38" s="94"/>
    </row>
    <row r="39" spans="2:8">
      <c r="B39" s="5" t="s">
        <v>120</v>
      </c>
      <c r="C39" s="27">
        <v>0</v>
      </c>
      <c r="D39" s="75"/>
      <c r="E39" s="27">
        <v>0</v>
      </c>
      <c r="F39" s="75"/>
      <c r="G39" s="71">
        <v>0</v>
      </c>
      <c r="H39" s="75"/>
    </row>
    <row r="40" spans="2:8">
      <c r="B40" s="5" t="s">
        <v>121</v>
      </c>
      <c r="C40" s="27">
        <v>0</v>
      </c>
      <c r="D40" s="75"/>
      <c r="E40" s="27">
        <v>0</v>
      </c>
      <c r="F40" s="75"/>
      <c r="G40" s="71">
        <v>0</v>
      </c>
      <c r="H40" s="75"/>
    </row>
    <row r="41" spans="2:8" ht="22.5" outlineLevel="1">
      <c r="B41" s="28" t="s">
        <v>122</v>
      </c>
      <c r="C41" s="25">
        <v>144370.78197615681</v>
      </c>
      <c r="D41" s="75">
        <f t="shared" si="2"/>
        <v>6.8429495895821063E-3</v>
      </c>
      <c r="E41" s="27">
        <v>133187.53768844221</v>
      </c>
      <c r="F41" s="75">
        <f t="shared" si="0"/>
        <v>7.0809608544823363E-3</v>
      </c>
      <c r="G41" s="71">
        <v>141271.21029352632</v>
      </c>
      <c r="H41" s="75">
        <f t="shared" si="1"/>
        <v>9.1763571621248062E-3</v>
      </c>
    </row>
    <row r="42" spans="2:8" outlineLevel="1">
      <c r="B42" s="28" t="s">
        <v>123</v>
      </c>
      <c r="C42" s="25">
        <v>0</v>
      </c>
      <c r="D42" s="75"/>
      <c r="E42" s="27">
        <v>0</v>
      </c>
      <c r="F42" s="75"/>
      <c r="G42" s="71">
        <v>0</v>
      </c>
      <c r="H42" s="75"/>
    </row>
    <row r="43" spans="2:8" ht="33.75" outlineLevel="1">
      <c r="B43" s="28" t="s">
        <v>124</v>
      </c>
      <c r="C43" s="25">
        <v>0</v>
      </c>
      <c r="D43" s="75"/>
      <c r="E43" s="27">
        <v>0</v>
      </c>
      <c r="F43" s="75"/>
      <c r="G43" s="71">
        <v>0</v>
      </c>
      <c r="H43" s="75"/>
    </row>
    <row r="44" spans="2:8" outlineLevel="1">
      <c r="B44" s="15" t="s">
        <v>125</v>
      </c>
      <c r="C44" s="25">
        <v>0</v>
      </c>
      <c r="D44" s="75"/>
      <c r="E44" s="27">
        <v>0</v>
      </c>
      <c r="F44" s="75"/>
      <c r="G44" s="71">
        <v>0</v>
      </c>
      <c r="H44" s="75"/>
    </row>
    <row r="45" spans="2:8" ht="15.75" thickBot="1">
      <c r="B45" s="77" t="s">
        <v>126</v>
      </c>
      <c r="C45" s="80">
        <v>144370.78197615681</v>
      </c>
      <c r="D45" s="89">
        <f t="shared" si="2"/>
        <v>6.8429495895821063E-3</v>
      </c>
      <c r="E45" s="80">
        <v>133187.53768844221</v>
      </c>
      <c r="F45" s="89">
        <f t="shared" si="0"/>
        <v>7.0809608544823363E-3</v>
      </c>
      <c r="G45" s="81">
        <v>141271.21029352632</v>
      </c>
      <c r="H45" s="89">
        <f t="shared" si="1"/>
        <v>9.1763571621248062E-3</v>
      </c>
    </row>
    <row r="46" spans="2:8">
      <c r="B46" s="5" t="s">
        <v>127</v>
      </c>
      <c r="C46" s="27">
        <v>0</v>
      </c>
      <c r="D46" s="75"/>
      <c r="E46" s="27">
        <v>0</v>
      </c>
      <c r="F46" s="75"/>
      <c r="G46" s="71">
        <v>0</v>
      </c>
      <c r="H46" s="75"/>
    </row>
    <row r="47" spans="2:8" ht="22.5">
      <c r="B47" s="28" t="s">
        <v>128</v>
      </c>
      <c r="C47" s="104">
        <v>6410442.7157001421</v>
      </c>
      <c r="D47" s="106">
        <f t="shared" si="2"/>
        <v>0.30384497299241975</v>
      </c>
      <c r="E47" s="104">
        <v>5777055.6783919604</v>
      </c>
      <c r="F47" s="106">
        <f t="shared" si="0"/>
        <v>0.30713913495833189</v>
      </c>
      <c r="G47" s="105">
        <v>5051499.1958182547</v>
      </c>
      <c r="H47" s="106">
        <f t="shared" si="1"/>
        <v>0.32812319458934164</v>
      </c>
    </row>
    <row r="48" spans="2:8">
      <c r="B48" s="10" t="s">
        <v>129</v>
      </c>
      <c r="C48" s="104">
        <v>508999.7979389776</v>
      </c>
      <c r="D48" s="106">
        <f t="shared" si="2"/>
        <v>2.4125795474177991E-2</v>
      </c>
      <c r="E48" s="104">
        <v>3977135.2763819098</v>
      </c>
      <c r="F48" s="106">
        <f t="shared" si="0"/>
        <v>0.21144575306226218</v>
      </c>
      <c r="G48" s="105">
        <v>1379248.6932046642</v>
      </c>
      <c r="H48" s="106">
        <f t="shared" si="1"/>
        <v>8.9589935542725901E-2</v>
      </c>
    </row>
    <row r="49" spans="2:14" ht="22.5" outlineLevel="1">
      <c r="B49" s="10" t="s">
        <v>130</v>
      </c>
      <c r="C49" s="27">
        <v>0</v>
      </c>
      <c r="D49" s="75"/>
      <c r="E49" s="27">
        <v>0</v>
      </c>
      <c r="F49" s="75"/>
      <c r="G49" s="71">
        <v>0</v>
      </c>
      <c r="H49" s="75"/>
    </row>
    <row r="50" spans="2:14" ht="33.75">
      <c r="B50" s="28" t="s">
        <v>131</v>
      </c>
      <c r="C50" s="27">
        <v>982636.69428167306</v>
      </c>
      <c r="D50" s="75">
        <f t="shared" si="2"/>
        <v>4.6575444641933153E-2</v>
      </c>
      <c r="E50" s="27">
        <v>234281.60804020101</v>
      </c>
      <c r="F50" s="75">
        <f t="shared" si="0"/>
        <v>1.2455661575022852E-2</v>
      </c>
      <c r="G50" s="71">
        <v>322052.87494973862</v>
      </c>
      <c r="H50" s="75">
        <f t="shared" si="1"/>
        <v>2.0919139855088666E-2</v>
      </c>
    </row>
    <row r="51" spans="2:14" outlineLevel="1">
      <c r="B51" s="15" t="s">
        <v>132</v>
      </c>
      <c r="C51" s="27">
        <v>0</v>
      </c>
      <c r="D51" s="75"/>
      <c r="E51" s="27">
        <v>0</v>
      </c>
      <c r="F51" s="75"/>
      <c r="G51" s="71">
        <v>0</v>
      </c>
      <c r="H51" s="75"/>
    </row>
    <row r="52" spans="2:14" outlineLevel="1">
      <c r="B52" s="15" t="s">
        <v>133</v>
      </c>
      <c r="C52" s="27">
        <v>0</v>
      </c>
      <c r="D52" s="75"/>
      <c r="E52" s="27">
        <v>0</v>
      </c>
      <c r="F52" s="75"/>
      <c r="G52" s="71">
        <v>0</v>
      </c>
      <c r="H52" s="75"/>
    </row>
    <row r="53" spans="2:14" ht="15.75" thickBot="1">
      <c r="B53" s="77" t="s">
        <v>134</v>
      </c>
      <c r="C53" s="80">
        <v>7902079.2079207925</v>
      </c>
      <c r="D53" s="89">
        <f t="shared" si="2"/>
        <v>0.37454621310853092</v>
      </c>
      <c r="E53" s="80">
        <v>9988472.5628140718</v>
      </c>
      <c r="F53" s="89">
        <f t="shared" si="0"/>
        <v>0.53104054959561697</v>
      </c>
      <c r="G53" s="81">
        <v>6752800.7639726577</v>
      </c>
      <c r="H53" s="89">
        <f t="shared" si="1"/>
        <v>0.43863226998715621</v>
      </c>
    </row>
    <row r="54" spans="2:14">
      <c r="B54" s="5" t="s">
        <v>135</v>
      </c>
      <c r="C54" s="27">
        <v>0</v>
      </c>
      <c r="D54" s="75"/>
      <c r="E54" s="27">
        <v>0</v>
      </c>
      <c r="F54" s="75"/>
      <c r="G54" s="71">
        <v>0</v>
      </c>
      <c r="H54" s="75"/>
    </row>
    <row r="55" spans="2:14" outlineLevel="1">
      <c r="B55" s="10" t="s">
        <v>136</v>
      </c>
      <c r="C55" s="25">
        <v>0</v>
      </c>
      <c r="D55" s="75"/>
      <c r="E55" s="27">
        <v>0</v>
      </c>
      <c r="F55" s="75"/>
      <c r="G55" s="71">
        <v>0</v>
      </c>
      <c r="H55" s="75"/>
    </row>
    <row r="56" spans="2:14" ht="22.5" outlineLevel="1">
      <c r="B56" s="28" t="s">
        <v>137</v>
      </c>
      <c r="C56" s="25">
        <v>0</v>
      </c>
      <c r="D56" s="75"/>
      <c r="E56" s="27">
        <v>0</v>
      </c>
      <c r="F56" s="75"/>
      <c r="G56" s="71">
        <v>0</v>
      </c>
      <c r="H56" s="75"/>
    </row>
    <row r="57" spans="2:14" ht="15.75" thickBot="1">
      <c r="B57" s="5" t="s">
        <v>138</v>
      </c>
      <c r="C57" s="26">
        <v>0</v>
      </c>
      <c r="D57" s="95"/>
      <c r="E57" s="26">
        <v>0</v>
      </c>
      <c r="F57" s="95"/>
      <c r="G57" s="72">
        <v>0</v>
      </c>
      <c r="H57" s="95"/>
    </row>
    <row r="58" spans="2:14" ht="22.5">
      <c r="B58" s="5" t="s">
        <v>139</v>
      </c>
      <c r="C58" s="108">
        <v>3309318.044049303</v>
      </c>
      <c r="D58" s="107">
        <f t="shared" si="2"/>
        <v>0.15685650684543495</v>
      </c>
      <c r="E58" s="108">
        <v>1087263.7185929648</v>
      </c>
      <c r="F58" s="107">
        <f t="shared" si="0"/>
        <v>5.7804746325930294E-2</v>
      </c>
      <c r="G58" s="109">
        <v>1272354.3003618817</v>
      </c>
      <c r="H58" s="107">
        <f t="shared" si="1"/>
        <v>8.2646545411673863E-2</v>
      </c>
    </row>
    <row r="59" spans="2:14">
      <c r="B59" s="5"/>
      <c r="C59" s="29"/>
      <c r="D59" s="92"/>
      <c r="E59" s="29"/>
      <c r="F59" s="92"/>
      <c r="G59" s="29"/>
      <c r="H59" s="92"/>
    </row>
    <row r="60" spans="2:14">
      <c r="B60" s="77" t="s">
        <v>140</v>
      </c>
      <c r="C60" s="82">
        <v>11355768.033946251</v>
      </c>
      <c r="D60" s="93">
        <f t="shared" si="2"/>
        <v>0.53824566954354791</v>
      </c>
      <c r="E60" s="82">
        <v>11208923.819095477</v>
      </c>
      <c r="F60" s="93">
        <f t="shared" si="0"/>
        <v>0.59592625677602951</v>
      </c>
      <c r="G60" s="83">
        <v>9990197.2255729791</v>
      </c>
      <c r="H60" s="93">
        <f t="shared" si="1"/>
        <v>0.64891932100992888</v>
      </c>
      <c r="J60" s="102">
        <f>SUM(C58,C53,C45)</f>
        <v>11355768.033946251</v>
      </c>
      <c r="K60" s="102">
        <f t="shared" ref="K60:M60" si="3">SUM(D58,D53,D45)</f>
        <v>0.53824566954354802</v>
      </c>
      <c r="L60" s="102">
        <f t="shared" si="3"/>
        <v>11208923.819095477</v>
      </c>
      <c r="M60" s="102">
        <f t="shared" si="3"/>
        <v>0.59592625677602951</v>
      </c>
      <c r="N60" s="102">
        <f>SUM(G58,G53,G45)</f>
        <v>8166426.2746280665</v>
      </c>
    </row>
    <row r="61" spans="2:14">
      <c r="B61" s="5"/>
      <c r="C61" s="29"/>
      <c r="D61" s="92"/>
      <c r="E61" s="29"/>
      <c r="F61" s="92"/>
      <c r="G61" s="29"/>
      <c r="H61" s="92"/>
    </row>
    <row r="62" spans="2:14">
      <c r="B62" s="77" t="s">
        <v>141</v>
      </c>
      <c r="C62" s="82">
        <v>158509.59789856538</v>
      </c>
      <c r="D62" s="93">
        <f t="shared" si="2"/>
        <v>7.5131073825169762E-3</v>
      </c>
      <c r="E62" s="82">
        <v>173844.82412060304</v>
      </c>
      <c r="F62" s="93">
        <f t="shared" si="0"/>
        <v>9.2425193506612876E-3</v>
      </c>
      <c r="G62" s="83">
        <v>195168.87816646561</v>
      </c>
      <c r="H62" s="93">
        <f t="shared" si="1"/>
        <v>1.2677312874049747E-2</v>
      </c>
    </row>
    <row r="63" spans="2:14" outlineLevel="1">
      <c r="B63" s="10" t="s">
        <v>142</v>
      </c>
      <c r="C63" s="27">
        <v>158509.59789856538</v>
      </c>
      <c r="D63" s="75">
        <f t="shared" si="2"/>
        <v>7.5131073825169762E-3</v>
      </c>
      <c r="E63" s="27">
        <v>173844.82412060304</v>
      </c>
      <c r="F63" s="75">
        <f t="shared" si="0"/>
        <v>9.2425193506612876E-3</v>
      </c>
      <c r="G63" s="71">
        <v>0</v>
      </c>
      <c r="H63" s="75">
        <f t="shared" si="1"/>
        <v>0</v>
      </c>
    </row>
    <row r="64" spans="2:14" outlineLevel="1">
      <c r="B64" s="10" t="s">
        <v>143</v>
      </c>
      <c r="C64" s="27">
        <v>0</v>
      </c>
      <c r="D64" s="75"/>
      <c r="E64" s="27">
        <v>0</v>
      </c>
      <c r="F64" s="75"/>
      <c r="G64" s="71">
        <v>0</v>
      </c>
      <c r="H64" s="75"/>
    </row>
    <row r="65" spans="2:10">
      <c r="B65" s="10"/>
      <c r="C65" s="27"/>
      <c r="D65" s="94"/>
      <c r="E65" s="27"/>
      <c r="F65" s="94"/>
      <c r="G65" s="27"/>
      <c r="H65" s="94"/>
    </row>
    <row r="66" spans="2:10">
      <c r="B66" s="86" t="s">
        <v>207</v>
      </c>
      <c r="C66" s="87">
        <f>C62+C60+C37</f>
        <v>21097741.563952312</v>
      </c>
      <c r="D66" s="97">
        <v>1</v>
      </c>
      <c r="E66" s="88">
        <f>E62+E60+E37</f>
        <v>18809246.432160806</v>
      </c>
      <c r="F66" s="97">
        <v>1</v>
      </c>
      <c r="G66" s="88">
        <f>G62+G60+G37</f>
        <v>15395129.875351828</v>
      </c>
      <c r="H66" s="97">
        <v>1</v>
      </c>
    </row>
    <row r="67" spans="2:10">
      <c r="B67" s="63" t="s">
        <v>206</v>
      </c>
      <c r="C67" s="27"/>
      <c r="D67" s="75"/>
      <c r="E67" s="99">
        <f>E66/C66-1</f>
        <v>-0.1084710951100869</v>
      </c>
      <c r="F67" s="75"/>
      <c r="G67" s="99">
        <f>G66/E66-1</f>
        <v>-0.18151267086231504</v>
      </c>
      <c r="H67" s="75"/>
    </row>
    <row r="68" spans="2:10">
      <c r="B68" s="5" t="s">
        <v>144</v>
      </c>
      <c r="C68" s="29">
        <v>0</v>
      </c>
      <c r="D68" s="96"/>
      <c r="E68" s="29">
        <v>0</v>
      </c>
      <c r="F68" s="96"/>
      <c r="G68" s="73">
        <v>0</v>
      </c>
      <c r="H68" s="96"/>
    </row>
    <row r="69" spans="2:10" ht="22.5" outlineLevel="1">
      <c r="B69" s="28" t="s">
        <v>145</v>
      </c>
      <c r="C69" s="27">
        <v>0</v>
      </c>
      <c r="D69" s="75"/>
      <c r="E69" s="27">
        <v>0</v>
      </c>
      <c r="F69" s="75"/>
      <c r="G69" s="71">
        <v>0</v>
      </c>
      <c r="H69" s="75"/>
    </row>
    <row r="70" spans="2:10" ht="22.5">
      <c r="B70" s="28" t="s">
        <v>146</v>
      </c>
      <c r="C70" s="27">
        <v>3183827.8440088909</v>
      </c>
      <c r="D70" s="75">
        <f>$C70/$C$143</f>
        <v>0.15090846593637749</v>
      </c>
      <c r="E70" s="27">
        <v>3054053.4673366835</v>
      </c>
      <c r="F70" s="75">
        <f>$E70/$E$143</f>
        <v>0.16236979220377465</v>
      </c>
      <c r="G70" s="71">
        <v>3063751.708886208</v>
      </c>
      <c r="H70" s="75">
        <f>$G70/$G$143</f>
        <v>0.19900785077437946</v>
      </c>
    </row>
    <row r="71" spans="2:10" outlineLevel="1">
      <c r="B71" s="28" t="s">
        <v>147</v>
      </c>
      <c r="C71" s="27">
        <v>11448.979591836734</v>
      </c>
      <c r="D71" s="75">
        <f t="shared" ref="D71:D134" si="4">$C71/$C$143</f>
        <v>5.4266374671989022E-4</v>
      </c>
      <c r="E71" s="27">
        <v>12302.914572864322</v>
      </c>
      <c r="F71" s="75">
        <f t="shared" ref="F71:F134" si="5">$E71/$E$143</f>
        <v>6.5408864123090024E-4</v>
      </c>
      <c r="G71" s="71">
        <v>9797.5472456775224</v>
      </c>
      <c r="H71" s="75">
        <f t="shared" ref="H71:H134" si="6">$G71/$G$143</f>
        <v>6.3640562470107878E-4</v>
      </c>
    </row>
    <row r="72" spans="2:10">
      <c r="B72" s="15" t="s">
        <v>148</v>
      </c>
      <c r="C72" s="27">
        <v>3341737.7247928875</v>
      </c>
      <c r="D72" s="75">
        <f t="shared" si="4"/>
        <v>0.15839314759407161</v>
      </c>
      <c r="E72" s="27">
        <v>3288470.5527638192</v>
      </c>
      <c r="F72" s="75">
        <f t="shared" si="5"/>
        <v>0.17483265634708353</v>
      </c>
      <c r="G72" s="71">
        <v>2804518.8982710093</v>
      </c>
      <c r="H72" s="75">
        <f t="shared" si="6"/>
        <v>0.18216922630585583</v>
      </c>
    </row>
    <row r="73" spans="2:10" outlineLevel="1">
      <c r="B73" s="15" t="s">
        <v>149</v>
      </c>
      <c r="C73" s="27">
        <v>0</v>
      </c>
      <c r="D73" s="75">
        <f t="shared" si="4"/>
        <v>0</v>
      </c>
      <c r="E73" s="27">
        <v>0</v>
      </c>
      <c r="F73" s="75">
        <f t="shared" si="5"/>
        <v>0</v>
      </c>
      <c r="G73" s="71">
        <v>0</v>
      </c>
      <c r="H73" s="75"/>
    </row>
    <row r="74" spans="2:10" outlineLevel="1">
      <c r="B74" s="28" t="s">
        <v>150</v>
      </c>
      <c r="C74" s="27">
        <v>0</v>
      </c>
      <c r="D74" s="75">
        <f t="shared" si="4"/>
        <v>0</v>
      </c>
      <c r="E74" s="27">
        <v>0</v>
      </c>
      <c r="F74" s="75">
        <f t="shared" si="5"/>
        <v>0</v>
      </c>
      <c r="G74" s="71">
        <v>0</v>
      </c>
      <c r="H74" s="75"/>
    </row>
    <row r="75" spans="2:10" ht="22.5" outlineLevel="1">
      <c r="B75" s="28" t="s">
        <v>151</v>
      </c>
      <c r="C75" s="27">
        <v>899709.03212770261</v>
      </c>
      <c r="D75" s="75">
        <f t="shared" si="4"/>
        <v>4.2644802570900378E-2</v>
      </c>
      <c r="E75" s="27">
        <v>0</v>
      </c>
      <c r="F75" s="75">
        <f t="shared" si="5"/>
        <v>0</v>
      </c>
      <c r="G75" s="71">
        <v>0</v>
      </c>
      <c r="H75" s="75"/>
    </row>
    <row r="76" spans="2:10" ht="56.25">
      <c r="B76" s="28" t="s">
        <v>152</v>
      </c>
      <c r="C76" s="30">
        <v>868891.08910891088</v>
      </c>
      <c r="D76" s="98">
        <f t="shared" si="4"/>
        <v>4.1184080216508039E-2</v>
      </c>
      <c r="E76" s="30">
        <v>890634.77386934683</v>
      </c>
      <c r="F76" s="98">
        <f t="shared" si="5"/>
        <v>4.7350900928637668E-2</v>
      </c>
      <c r="G76" s="74">
        <v>849510.45436268591</v>
      </c>
      <c r="H76" s="98">
        <f t="shared" si="6"/>
        <v>5.5180466890557611E-2</v>
      </c>
    </row>
    <row r="77" spans="2:10" s="100" customFormat="1">
      <c r="B77" s="77" t="s">
        <v>153</v>
      </c>
      <c r="C77" s="82">
        <v>8305614.6696302285</v>
      </c>
      <c r="D77" s="93">
        <f t="shared" si="4"/>
        <v>0.39367316006457742</v>
      </c>
      <c r="E77" s="82">
        <v>7245461.7085427139</v>
      </c>
      <c r="F77" s="93">
        <f t="shared" si="5"/>
        <v>0.38520743812072672</v>
      </c>
      <c r="G77" s="83">
        <v>6727578.6087655807</v>
      </c>
      <c r="H77" s="93">
        <f t="shared" si="6"/>
        <v>0.43699394959549398</v>
      </c>
    </row>
    <row r="78" spans="2:10" s="100" customFormat="1">
      <c r="B78" s="5"/>
      <c r="C78" s="29"/>
      <c r="D78" s="92"/>
      <c r="E78" s="29"/>
      <c r="F78" s="92"/>
      <c r="G78" s="29"/>
      <c r="H78" s="92"/>
    </row>
    <row r="79" spans="2:10" ht="22.5" outlineLevel="1">
      <c r="B79" s="5" t="s">
        <v>154</v>
      </c>
      <c r="C79" s="31">
        <v>3208662.9622145891</v>
      </c>
      <c r="D79" s="96">
        <f t="shared" si="4"/>
        <v>0.15208561174117435</v>
      </c>
      <c r="E79" s="29">
        <v>4137306.9346733671</v>
      </c>
      <c r="F79" s="96">
        <f t="shared" si="5"/>
        <v>0.21996133153882769</v>
      </c>
      <c r="G79" s="73">
        <v>3457787.4949738639</v>
      </c>
      <c r="H79" s="96">
        <f t="shared" si="6"/>
        <v>0.22460268428848459</v>
      </c>
      <c r="J79" s="102"/>
    </row>
    <row r="80" spans="2:10">
      <c r="B80" s="5"/>
      <c r="C80" s="29"/>
      <c r="D80" s="92"/>
      <c r="E80" s="29"/>
      <c r="F80" s="92"/>
      <c r="G80" s="29"/>
      <c r="H80" s="92"/>
    </row>
    <row r="81" spans="2:8" ht="22.5" outlineLevel="1">
      <c r="B81" s="5" t="s">
        <v>155</v>
      </c>
      <c r="C81" s="31">
        <v>12792126.894322086</v>
      </c>
      <c r="D81" s="96">
        <f t="shared" si="4"/>
        <v>0.60632683055341485</v>
      </c>
      <c r="E81" s="29">
        <v>11563784.723618092</v>
      </c>
      <c r="F81" s="96">
        <f t="shared" si="5"/>
        <v>0.61479255119277276</v>
      </c>
      <c r="G81" s="73">
        <v>8667551.2665862478</v>
      </c>
      <c r="H81" s="96">
        <f t="shared" si="6"/>
        <v>0.56300605040450602</v>
      </c>
    </row>
    <row r="82" spans="2:8">
      <c r="B82" s="5"/>
      <c r="C82" s="31"/>
      <c r="D82" s="96"/>
      <c r="E82" s="29"/>
      <c r="F82" s="96"/>
      <c r="G82" s="73"/>
      <c r="H82" s="96"/>
    </row>
    <row r="83" spans="2:8">
      <c r="B83" s="5" t="s">
        <v>156</v>
      </c>
      <c r="C83" s="31">
        <v>0</v>
      </c>
      <c r="D83" s="96"/>
      <c r="E83" s="29">
        <v>0</v>
      </c>
      <c r="F83" s="96"/>
      <c r="G83" s="73">
        <v>0</v>
      </c>
      <c r="H83" s="96"/>
    </row>
    <row r="84" spans="2:8" ht="22.5" outlineLevel="1">
      <c r="B84" s="28" t="s">
        <v>157</v>
      </c>
      <c r="C84" s="27">
        <v>0</v>
      </c>
      <c r="D84" s="75"/>
      <c r="E84" s="27">
        <v>0</v>
      </c>
      <c r="F84" s="75"/>
      <c r="G84" s="71">
        <v>0</v>
      </c>
      <c r="H84" s="75"/>
    </row>
    <row r="85" spans="2:8" ht="22.5">
      <c r="B85" s="28" t="s">
        <v>146</v>
      </c>
      <c r="C85" s="104">
        <v>10841984.643362295</v>
      </c>
      <c r="D85" s="106">
        <f t="shared" si="4"/>
        <v>0.51389313442759055</v>
      </c>
      <c r="E85" s="104">
        <v>8609126.6331658289</v>
      </c>
      <c r="F85" s="106">
        <f t="shared" si="5"/>
        <v>0.45770714803566837</v>
      </c>
      <c r="G85" s="105">
        <v>5545072.577402493</v>
      </c>
      <c r="H85" s="106">
        <f t="shared" si="6"/>
        <v>0.36018355300011845</v>
      </c>
    </row>
    <row r="86" spans="2:8" outlineLevel="1">
      <c r="B86" s="28" t="s">
        <v>147</v>
      </c>
      <c r="C86" s="27">
        <v>0</v>
      </c>
      <c r="D86" s="75"/>
      <c r="E86" s="27">
        <v>0</v>
      </c>
      <c r="F86" s="75"/>
      <c r="G86" s="71">
        <v>0</v>
      </c>
      <c r="H86" s="75"/>
    </row>
    <row r="87" spans="2:8" outlineLevel="1">
      <c r="B87" s="15" t="s">
        <v>148</v>
      </c>
      <c r="C87" s="27">
        <v>0</v>
      </c>
      <c r="D87" s="75"/>
      <c r="E87" s="27">
        <v>0</v>
      </c>
      <c r="F87" s="75"/>
      <c r="G87" s="71">
        <v>0</v>
      </c>
      <c r="H87" s="75"/>
    </row>
    <row r="88" spans="2:8" outlineLevel="1">
      <c r="B88" s="15" t="s">
        <v>149</v>
      </c>
      <c r="C88" s="27">
        <v>0</v>
      </c>
      <c r="D88" s="75"/>
      <c r="E88" s="27">
        <v>0</v>
      </c>
      <c r="F88" s="75"/>
      <c r="G88" s="71">
        <v>0</v>
      </c>
      <c r="H88" s="75"/>
    </row>
    <row r="89" spans="2:8" outlineLevel="1">
      <c r="B89" s="28" t="s">
        <v>150</v>
      </c>
      <c r="C89" s="27">
        <v>0</v>
      </c>
      <c r="D89" s="75"/>
      <c r="E89" s="27">
        <v>0</v>
      </c>
      <c r="F89" s="75"/>
      <c r="G89" s="71">
        <v>0</v>
      </c>
      <c r="H89" s="75"/>
    </row>
    <row r="90" spans="2:8" ht="19.5" customHeight="1" outlineLevel="1">
      <c r="B90" s="28" t="s">
        <v>151</v>
      </c>
      <c r="C90" s="27">
        <v>0</v>
      </c>
      <c r="D90" s="75"/>
      <c r="E90" s="27">
        <v>0</v>
      </c>
      <c r="F90" s="75"/>
      <c r="G90" s="71">
        <v>0</v>
      </c>
      <c r="H90" s="75"/>
    </row>
    <row r="91" spans="2:8" ht="56.25">
      <c r="B91" s="28" t="s">
        <v>158</v>
      </c>
      <c r="C91" s="27">
        <v>342841.78621943831</v>
      </c>
      <c r="D91" s="75">
        <f t="shared" si="4"/>
        <v>1.6250165069263852E-2</v>
      </c>
      <c r="E91" s="27">
        <v>403857.48743718595</v>
      </c>
      <c r="F91" s="75">
        <f t="shared" si="5"/>
        <v>2.1471220794408379E-2</v>
      </c>
      <c r="G91" s="71">
        <v>211459.79091274628</v>
      </c>
      <c r="H91" s="75">
        <f t="shared" si="6"/>
        <v>1.3735498993827989E-2</v>
      </c>
    </row>
    <row r="92" spans="2:8" ht="15.75" thickBot="1">
      <c r="B92" s="77" t="s">
        <v>159</v>
      </c>
      <c r="C92" s="80">
        <v>11184826.429581733</v>
      </c>
      <c r="D92" s="89">
        <f t="shared" si="4"/>
        <v>0.53014329949685435</v>
      </c>
      <c r="E92" s="80">
        <v>9012984.1206030156</v>
      </c>
      <c r="F92" s="89">
        <f t="shared" si="5"/>
        <v>0.47917836883007681</v>
      </c>
      <c r="G92" s="81">
        <v>5756532.3683152394</v>
      </c>
      <c r="H92" s="89">
        <f t="shared" si="6"/>
        <v>0.37391905199394648</v>
      </c>
    </row>
    <row r="93" spans="2:8">
      <c r="B93" s="5"/>
      <c r="C93" s="27"/>
      <c r="D93" s="75"/>
      <c r="E93" s="27"/>
      <c r="F93" s="75"/>
      <c r="G93" s="71"/>
      <c r="H93" s="75"/>
    </row>
    <row r="94" spans="2:8">
      <c r="B94" s="5" t="s">
        <v>160</v>
      </c>
      <c r="C94" s="27">
        <v>0</v>
      </c>
      <c r="D94" s="75"/>
      <c r="E94" s="27">
        <v>0</v>
      </c>
      <c r="F94" s="75"/>
      <c r="G94" s="71">
        <v>0</v>
      </c>
      <c r="H94" s="75"/>
    </row>
    <row r="95" spans="2:8" outlineLevel="1">
      <c r="B95" s="15" t="s">
        <v>161</v>
      </c>
      <c r="C95" s="25">
        <v>0</v>
      </c>
      <c r="D95" s="75"/>
      <c r="E95" s="27">
        <v>0</v>
      </c>
      <c r="F95" s="75"/>
      <c r="G95" s="71">
        <v>0</v>
      </c>
      <c r="H95" s="75"/>
    </row>
    <row r="96" spans="2:8" outlineLevel="1">
      <c r="B96" s="15" t="s">
        <v>162</v>
      </c>
      <c r="C96" s="25">
        <v>0</v>
      </c>
      <c r="D96" s="75"/>
      <c r="E96" s="27">
        <v>0</v>
      </c>
      <c r="F96" s="75"/>
      <c r="G96" s="71">
        <v>0</v>
      </c>
      <c r="H96" s="75"/>
    </row>
    <row r="97" spans="2:8" outlineLevel="1">
      <c r="B97" s="15" t="s">
        <v>163</v>
      </c>
      <c r="C97" s="25">
        <v>0</v>
      </c>
      <c r="D97" s="75"/>
      <c r="E97" s="27">
        <v>0</v>
      </c>
      <c r="F97" s="75"/>
      <c r="G97" s="71">
        <v>0</v>
      </c>
      <c r="H97" s="75"/>
    </row>
    <row r="98" spans="2:8" ht="15.75" thickBot="1">
      <c r="B98" s="77" t="s">
        <v>164</v>
      </c>
      <c r="C98" s="80">
        <v>0</v>
      </c>
      <c r="D98" s="89"/>
      <c r="E98" s="80">
        <v>0</v>
      </c>
      <c r="F98" s="89"/>
      <c r="G98" s="81">
        <v>0</v>
      </c>
      <c r="H98" s="89"/>
    </row>
    <row r="99" spans="2:8">
      <c r="B99" s="5" t="s">
        <v>165</v>
      </c>
      <c r="C99" s="29">
        <v>0</v>
      </c>
      <c r="D99" s="96"/>
      <c r="E99" s="29">
        <v>0</v>
      </c>
      <c r="F99" s="96"/>
      <c r="G99" s="73">
        <v>0</v>
      </c>
      <c r="H99" s="96"/>
    </row>
    <row r="100" spans="2:8" ht="15.75" outlineLevel="1" thickBot="1">
      <c r="B100" s="10" t="s">
        <v>166</v>
      </c>
      <c r="C100" s="26">
        <v>0</v>
      </c>
      <c r="D100" s="95"/>
      <c r="E100" s="26">
        <v>0</v>
      </c>
      <c r="F100" s="95"/>
      <c r="G100" s="72">
        <v>0</v>
      </c>
      <c r="H100" s="95"/>
    </row>
    <row r="101" spans="2:8" outlineLevel="1">
      <c r="B101" s="15" t="s">
        <v>167</v>
      </c>
      <c r="C101" s="25">
        <v>0</v>
      </c>
      <c r="D101" s="75"/>
      <c r="E101" s="27">
        <v>0</v>
      </c>
      <c r="F101" s="75"/>
      <c r="G101" s="71">
        <v>0</v>
      </c>
      <c r="H101" s="75"/>
    </row>
    <row r="102" spans="2:8" outlineLevel="1">
      <c r="B102" s="15" t="s">
        <v>168</v>
      </c>
      <c r="C102" s="25">
        <v>0</v>
      </c>
      <c r="D102" s="75"/>
      <c r="E102" s="27">
        <v>0</v>
      </c>
      <c r="F102" s="75"/>
      <c r="G102" s="71">
        <v>0</v>
      </c>
      <c r="H102" s="75"/>
    </row>
    <row r="103" spans="2:8" ht="15.75" outlineLevel="1" thickBot="1">
      <c r="B103" s="10" t="s">
        <v>169</v>
      </c>
      <c r="C103" s="26">
        <v>0</v>
      </c>
      <c r="D103" s="95"/>
      <c r="E103" s="26">
        <v>0</v>
      </c>
      <c r="F103" s="95"/>
      <c r="G103" s="72">
        <v>0</v>
      </c>
      <c r="H103" s="95"/>
    </row>
    <row r="104" spans="2:8" outlineLevel="1">
      <c r="B104" s="15" t="s">
        <v>170</v>
      </c>
      <c r="C104" s="25">
        <v>0</v>
      </c>
      <c r="D104" s="75"/>
      <c r="E104" s="27">
        <v>0</v>
      </c>
      <c r="F104" s="75"/>
      <c r="G104" s="71">
        <v>0</v>
      </c>
      <c r="H104" s="75"/>
    </row>
    <row r="105" spans="2:8" outlineLevel="1">
      <c r="B105" s="15" t="s">
        <v>171</v>
      </c>
      <c r="C105" s="25">
        <v>0</v>
      </c>
      <c r="D105" s="75"/>
      <c r="E105" s="27">
        <v>0</v>
      </c>
      <c r="F105" s="75"/>
      <c r="G105" s="71">
        <v>0</v>
      </c>
      <c r="H105" s="75"/>
    </row>
    <row r="106" spans="2:8" ht="23.25" outlineLevel="1" thickBot="1">
      <c r="B106" s="10" t="s">
        <v>172</v>
      </c>
      <c r="C106" s="26">
        <v>0</v>
      </c>
      <c r="D106" s="95"/>
      <c r="E106" s="26">
        <v>0</v>
      </c>
      <c r="F106" s="95"/>
      <c r="G106" s="72">
        <v>0</v>
      </c>
      <c r="H106" s="95"/>
    </row>
    <row r="107" spans="2:8" outlineLevel="1">
      <c r="B107" s="15" t="s">
        <v>173</v>
      </c>
      <c r="C107" s="25">
        <v>0</v>
      </c>
      <c r="D107" s="75"/>
      <c r="E107" s="27">
        <v>0</v>
      </c>
      <c r="F107" s="75"/>
      <c r="G107" s="71">
        <v>0</v>
      </c>
      <c r="H107" s="75"/>
    </row>
    <row r="108" spans="2:8" outlineLevel="1">
      <c r="B108" s="15" t="s">
        <v>174</v>
      </c>
      <c r="C108" s="25">
        <v>0</v>
      </c>
      <c r="D108" s="75"/>
      <c r="E108" s="27">
        <v>0</v>
      </c>
      <c r="F108" s="75"/>
      <c r="G108" s="71">
        <v>0</v>
      </c>
      <c r="H108" s="75"/>
    </row>
    <row r="109" spans="2:8" outlineLevel="1">
      <c r="B109" s="15" t="s">
        <v>175</v>
      </c>
      <c r="C109" s="25">
        <v>0</v>
      </c>
      <c r="D109" s="75"/>
      <c r="E109" s="27">
        <v>0</v>
      </c>
      <c r="F109" s="75"/>
      <c r="G109" s="71">
        <v>0</v>
      </c>
      <c r="H109" s="75"/>
    </row>
    <row r="110" spans="2:8" ht="15.75" thickBot="1">
      <c r="B110" s="77" t="s">
        <v>176</v>
      </c>
      <c r="C110" s="80">
        <v>0</v>
      </c>
      <c r="D110" s="89"/>
      <c r="E110" s="80">
        <v>0</v>
      </c>
      <c r="F110" s="89"/>
      <c r="G110" s="81">
        <v>0</v>
      </c>
      <c r="H110" s="89"/>
    </row>
    <row r="111" spans="2:8">
      <c r="B111" s="5" t="s">
        <v>177</v>
      </c>
      <c r="C111" s="29">
        <v>0</v>
      </c>
      <c r="D111" s="96"/>
      <c r="E111" s="29">
        <v>0</v>
      </c>
      <c r="F111" s="96"/>
      <c r="G111" s="73">
        <v>0</v>
      </c>
      <c r="H111" s="96"/>
    </row>
    <row r="112" spans="2:8">
      <c r="B112" s="10" t="s">
        <v>178</v>
      </c>
      <c r="C112" s="25">
        <v>2020.610224287735</v>
      </c>
      <c r="D112" s="75">
        <f t="shared" si="4"/>
        <v>9.5773767974425135E-5</v>
      </c>
      <c r="E112" s="27">
        <v>2010.0502512562816</v>
      </c>
      <c r="F112" s="75">
        <f t="shared" si="5"/>
        <v>1.0686500583771468E-4</v>
      </c>
      <c r="G112" s="71">
        <v>2010.454362685967</v>
      </c>
      <c r="H112" s="75">
        <f t="shared" si="6"/>
        <v>1.3059028270393343E-4</v>
      </c>
    </row>
    <row r="113" spans="2:8" outlineLevel="1">
      <c r="B113" s="10" t="s">
        <v>179</v>
      </c>
      <c r="C113" s="25">
        <v>0</v>
      </c>
      <c r="D113" s="75"/>
      <c r="E113" s="27">
        <v>0</v>
      </c>
      <c r="F113" s="75"/>
      <c r="G113" s="71">
        <v>0</v>
      </c>
      <c r="H113" s="75"/>
    </row>
    <row r="114" spans="2:8" outlineLevel="1">
      <c r="B114" s="10" t="s">
        <v>180</v>
      </c>
      <c r="C114" s="25">
        <v>0</v>
      </c>
      <c r="D114" s="75"/>
      <c r="E114" s="27">
        <v>0</v>
      </c>
      <c r="F114" s="75"/>
      <c r="G114" s="71">
        <v>0</v>
      </c>
      <c r="H114" s="75"/>
    </row>
    <row r="115" spans="2:8" ht="22.5" outlineLevel="1">
      <c r="B115" s="10" t="s">
        <v>181</v>
      </c>
      <c r="C115" s="25">
        <v>0</v>
      </c>
      <c r="D115" s="75"/>
      <c r="E115" s="27">
        <v>0</v>
      </c>
      <c r="F115" s="75"/>
      <c r="G115" s="71">
        <v>0</v>
      </c>
      <c r="H115" s="75"/>
    </row>
    <row r="116" spans="2:8" outlineLevel="1">
      <c r="B116" s="10" t="s">
        <v>182</v>
      </c>
      <c r="C116" s="25">
        <v>0</v>
      </c>
      <c r="D116" s="75"/>
      <c r="E116" s="27">
        <v>0</v>
      </c>
      <c r="F116" s="75"/>
      <c r="G116" s="71">
        <v>0</v>
      </c>
      <c r="H116" s="75"/>
    </row>
    <row r="117" spans="2:8" ht="15.75" thickBot="1">
      <c r="B117" s="77" t="s">
        <v>183</v>
      </c>
      <c r="C117" s="80">
        <v>2020.610224287735</v>
      </c>
      <c r="D117" s="89">
        <f t="shared" si="4"/>
        <v>9.5773767974425135E-5</v>
      </c>
      <c r="E117" s="80">
        <v>2010.0502512562816</v>
      </c>
      <c r="F117" s="89">
        <f t="shared" si="5"/>
        <v>1.0686500583771468E-4</v>
      </c>
      <c r="G117" s="81">
        <v>2010.454362685967</v>
      </c>
      <c r="H117" s="89">
        <f t="shared" si="6"/>
        <v>1.3059028270393343E-4</v>
      </c>
    </row>
    <row r="118" spans="2:8">
      <c r="B118" s="5"/>
      <c r="C118" s="27"/>
      <c r="D118" s="94"/>
      <c r="E118" s="27"/>
      <c r="F118" s="94"/>
      <c r="G118" s="27"/>
      <c r="H118" s="94"/>
    </row>
    <row r="119" spans="2:8">
      <c r="B119" s="5" t="s">
        <v>184</v>
      </c>
      <c r="C119" s="25">
        <v>0</v>
      </c>
      <c r="D119" s="75"/>
      <c r="E119" s="27">
        <v>0</v>
      </c>
      <c r="F119" s="75"/>
      <c r="G119" s="71">
        <v>0</v>
      </c>
      <c r="H119" s="75"/>
    </row>
    <row r="120" spans="2:8">
      <c r="B120" s="5" t="s">
        <v>185</v>
      </c>
      <c r="C120" s="25">
        <v>15232.572236815518</v>
      </c>
      <c r="D120" s="75">
        <f t="shared" si="4"/>
        <v>7.2200012725200124E-4</v>
      </c>
      <c r="E120" s="27">
        <v>15152.964824120603</v>
      </c>
      <c r="F120" s="75">
        <f t="shared" si="5"/>
        <v>8.0561253300819589E-4</v>
      </c>
      <c r="G120" s="71">
        <v>15156.011258544431</v>
      </c>
      <c r="H120" s="75">
        <f t="shared" si="6"/>
        <v>9.8446790519187257E-4</v>
      </c>
    </row>
    <row r="121" spans="2:8">
      <c r="B121" s="5" t="s">
        <v>186</v>
      </c>
      <c r="C121" s="25">
        <v>0</v>
      </c>
      <c r="D121" s="75"/>
      <c r="E121" s="27">
        <v>0</v>
      </c>
      <c r="F121" s="75"/>
      <c r="G121" s="71">
        <v>0</v>
      </c>
      <c r="H121" s="75"/>
    </row>
    <row r="122" spans="2:8" outlineLevel="1">
      <c r="B122" s="15" t="s">
        <v>187</v>
      </c>
      <c r="C122" s="25">
        <v>404.122044857547</v>
      </c>
      <c r="D122" s="75">
        <f t="shared" si="4"/>
        <v>1.9154753594885025E-5</v>
      </c>
      <c r="E122" s="27">
        <v>402.0100502512563</v>
      </c>
      <c r="F122" s="75">
        <f t="shared" si="5"/>
        <v>2.1373001167542937E-5</v>
      </c>
      <c r="G122" s="71">
        <v>402.09087253719338</v>
      </c>
      <c r="H122" s="75">
        <f t="shared" si="6"/>
        <v>2.6118056540786687E-5</v>
      </c>
    </row>
    <row r="123" spans="2:8" outlineLevel="1">
      <c r="B123" s="15" t="s">
        <v>188</v>
      </c>
      <c r="C123" s="25">
        <v>0</v>
      </c>
      <c r="D123" s="75"/>
      <c r="E123" s="27">
        <v>0</v>
      </c>
      <c r="F123" s="75"/>
      <c r="G123" s="71">
        <v>0</v>
      </c>
      <c r="H123" s="75"/>
    </row>
    <row r="124" spans="2:8" outlineLevel="1">
      <c r="B124" s="15" t="s">
        <v>189</v>
      </c>
      <c r="C124" s="25">
        <v>24014.548393614874</v>
      </c>
      <c r="D124" s="75">
        <f t="shared" si="4"/>
        <v>1.1382520776224479E-3</v>
      </c>
      <c r="E124" s="27">
        <v>23889.045226130656</v>
      </c>
      <c r="F124" s="75">
        <f t="shared" si="5"/>
        <v>1.2700692213800716E-3</v>
      </c>
      <c r="G124" s="71">
        <v>23893.848009650181</v>
      </c>
      <c r="H124" s="75">
        <f t="shared" si="6"/>
        <v>1.5520393918797082E-3</v>
      </c>
    </row>
    <row r="125" spans="2:8" ht="15.75" thickBot="1">
      <c r="B125" s="77" t="s">
        <v>190</v>
      </c>
      <c r="C125" s="80">
        <v>24418.670438472418</v>
      </c>
      <c r="D125" s="89">
        <f t="shared" si="4"/>
        <v>1.1574068312173327E-3</v>
      </c>
      <c r="E125" s="80">
        <v>24291.055276381911</v>
      </c>
      <c r="F125" s="89">
        <f t="shared" si="5"/>
        <v>1.2914422225476143E-3</v>
      </c>
      <c r="G125" s="81">
        <v>24295.938882187373</v>
      </c>
      <c r="H125" s="89">
        <f t="shared" si="6"/>
        <v>1.5781574484204947E-3</v>
      </c>
    </row>
    <row r="126" spans="2:8">
      <c r="B126" s="5"/>
      <c r="C126" s="27"/>
      <c r="D126" s="75"/>
      <c r="E126" s="27"/>
      <c r="F126" s="75"/>
      <c r="G126" s="71"/>
      <c r="H126" s="75"/>
    </row>
    <row r="127" spans="2:8">
      <c r="B127" s="15" t="s">
        <v>191</v>
      </c>
      <c r="C127" s="25">
        <v>0</v>
      </c>
      <c r="D127" s="75"/>
      <c r="E127" s="27">
        <v>0</v>
      </c>
      <c r="F127" s="75"/>
      <c r="G127" s="71">
        <v>0</v>
      </c>
      <c r="H127" s="75"/>
    </row>
    <row r="128" spans="2:8">
      <c r="B128" s="15" t="s">
        <v>192</v>
      </c>
      <c r="C128" s="25">
        <v>0</v>
      </c>
      <c r="D128" s="75"/>
      <c r="E128" s="27">
        <v>0</v>
      </c>
      <c r="F128" s="75"/>
      <c r="G128" s="71">
        <v>0</v>
      </c>
      <c r="H128" s="75"/>
    </row>
    <row r="129" spans="2:8">
      <c r="B129" s="15" t="s">
        <v>193</v>
      </c>
      <c r="C129" s="25">
        <v>409508.78965447564</v>
      </c>
      <c r="D129" s="75">
        <f t="shared" si="4"/>
        <v>1.9410076882928045E-2</v>
      </c>
      <c r="E129" s="27">
        <v>0</v>
      </c>
      <c r="F129" s="75"/>
      <c r="G129" s="71">
        <v>0</v>
      </c>
      <c r="H129" s="75"/>
    </row>
    <row r="130" spans="2:8">
      <c r="B130" s="32" t="s">
        <v>194</v>
      </c>
      <c r="C130" s="25">
        <v>0</v>
      </c>
      <c r="D130" s="75"/>
      <c r="E130" s="27">
        <v>0</v>
      </c>
      <c r="F130" s="75"/>
      <c r="G130" s="71">
        <v>0</v>
      </c>
      <c r="H130" s="75"/>
    </row>
    <row r="131" spans="2:8">
      <c r="B131" s="5" t="s">
        <v>195</v>
      </c>
      <c r="C131" s="25">
        <v>0</v>
      </c>
      <c r="D131" s="75"/>
      <c r="E131" s="27">
        <v>1218147.3366834172</v>
      </c>
      <c r="F131" s="75">
        <f t="shared" si="5"/>
        <v>6.4763217817320307E-2</v>
      </c>
      <c r="G131" s="71">
        <v>2509851.2263771612</v>
      </c>
      <c r="H131" s="75">
        <f t="shared" si="6"/>
        <v>0.1630289089275905</v>
      </c>
    </row>
    <row r="132" spans="2:8" outlineLevel="1">
      <c r="B132" s="5" t="s">
        <v>196</v>
      </c>
      <c r="C132" s="25">
        <v>0</v>
      </c>
      <c r="D132" s="75"/>
      <c r="E132" s="27">
        <v>0</v>
      </c>
      <c r="F132" s="75"/>
      <c r="G132" s="71">
        <v>0</v>
      </c>
      <c r="H132" s="75"/>
    </row>
    <row r="133" spans="2:8">
      <c r="B133" s="5" t="s">
        <v>197</v>
      </c>
      <c r="C133" s="25">
        <v>0</v>
      </c>
      <c r="D133" s="75"/>
      <c r="E133" s="27">
        <v>0</v>
      </c>
      <c r="F133" s="75"/>
      <c r="G133" s="71">
        <v>0</v>
      </c>
      <c r="H133" s="75"/>
    </row>
    <row r="134" spans="2:8">
      <c r="B134" s="5" t="s">
        <v>195</v>
      </c>
      <c r="C134" s="25">
        <v>1975137.1994344301</v>
      </c>
      <c r="D134" s="75">
        <f t="shared" si="4"/>
        <v>9.3618417635677409E-2</v>
      </c>
      <c r="E134" s="27">
        <v>1291199.3969849248</v>
      </c>
      <c r="F134" s="75">
        <f t="shared" si="5"/>
        <v>6.8647055470482707E-2</v>
      </c>
      <c r="G134" s="71">
        <v>359705.26739043021</v>
      </c>
      <c r="H134" s="75">
        <f t="shared" si="6"/>
        <v>2.3364873846652739E-2</v>
      </c>
    </row>
    <row r="135" spans="2:8">
      <c r="B135" s="5" t="s">
        <v>196</v>
      </c>
      <c r="C135" s="25">
        <v>0</v>
      </c>
      <c r="D135" s="75"/>
      <c r="E135" s="27">
        <v>0</v>
      </c>
      <c r="F135" s="75"/>
      <c r="G135" s="71">
        <v>0</v>
      </c>
      <c r="H135" s="75"/>
    </row>
    <row r="136" spans="2:8" outlineLevel="1">
      <c r="B136" s="10" t="s">
        <v>198</v>
      </c>
      <c r="C136" s="25">
        <v>0</v>
      </c>
      <c r="D136" s="75"/>
      <c r="E136" s="27">
        <v>0</v>
      </c>
      <c r="F136" s="75"/>
      <c r="G136" s="71">
        <v>0</v>
      </c>
      <c r="H136" s="75"/>
    </row>
    <row r="137" spans="2:8" ht="23.25" thickBot="1">
      <c r="B137" s="77" t="s">
        <v>199</v>
      </c>
      <c r="C137" s="110">
        <v>1607300.66267953</v>
      </c>
      <c r="D137" s="111">
        <f t="shared" ref="D137:D143" si="7">$C137/$C$143</f>
        <v>7.6183540438568217E-2</v>
      </c>
      <c r="E137" s="110">
        <v>2550800.8040201007</v>
      </c>
      <c r="F137" s="111">
        <f t="shared" ref="F137:F143" si="8">$E137/$E$143</f>
        <v>0.13561419304919653</v>
      </c>
      <c r="G137" s="112">
        <v>2911018.8982710093</v>
      </c>
      <c r="H137" s="111">
        <f t="shared" ref="H137:H143" si="9">$G137/$G$143</f>
        <v>0.18908699841055956</v>
      </c>
    </row>
    <row r="138" spans="2:8" outlineLevel="1">
      <c r="B138" s="10" t="s">
        <v>200</v>
      </c>
      <c r="C138" s="27">
        <v>0</v>
      </c>
      <c r="D138" s="75"/>
      <c r="E138" s="27">
        <v>0</v>
      </c>
      <c r="F138" s="75"/>
      <c r="G138" s="71">
        <v>0</v>
      </c>
      <c r="H138" s="75"/>
    </row>
    <row r="139" spans="2:8" outlineLevel="1">
      <c r="B139" s="10" t="s">
        <v>201</v>
      </c>
      <c r="C139" s="27">
        <v>0</v>
      </c>
      <c r="D139" s="75"/>
      <c r="E139" s="27">
        <v>0</v>
      </c>
      <c r="F139" s="75"/>
      <c r="G139" s="71">
        <v>0</v>
      </c>
      <c r="H139" s="75"/>
    </row>
    <row r="140" spans="2:8" outlineLevel="1">
      <c r="B140" s="10"/>
      <c r="C140" s="27"/>
      <c r="D140" s="94"/>
      <c r="E140" s="27"/>
      <c r="F140" s="94"/>
      <c r="G140" s="27"/>
      <c r="H140" s="94"/>
    </row>
    <row r="141" spans="2:8" ht="15.75" thickBot="1">
      <c r="B141" s="77" t="s">
        <v>202</v>
      </c>
      <c r="C141" s="84">
        <v>1607300.2626793291</v>
      </c>
      <c r="D141" s="101">
        <f t="shared" si="7"/>
        <v>7.6183521479183586E-2</v>
      </c>
      <c r="E141" s="84">
        <v>2550800.8040201007</v>
      </c>
      <c r="F141" s="101">
        <f t="shared" si="8"/>
        <v>0.13561419304919653</v>
      </c>
      <c r="G141" s="85">
        <v>2911018.8982710093</v>
      </c>
      <c r="H141" s="101">
        <f t="shared" si="9"/>
        <v>0.18908699841055956</v>
      </c>
    </row>
    <row r="143" spans="2:8">
      <c r="B143" s="86" t="s">
        <v>208</v>
      </c>
      <c r="C143" s="88">
        <f>C77+C92+C137</f>
        <v>21097741.761891492</v>
      </c>
      <c r="D143" s="97">
        <f t="shared" si="7"/>
        <v>1</v>
      </c>
      <c r="E143" s="88">
        <f>E77+E92+E137</f>
        <v>18809246.633165829</v>
      </c>
      <c r="F143" s="97">
        <f t="shared" si="8"/>
        <v>1</v>
      </c>
      <c r="G143" s="88">
        <f>G77+G92+G137</f>
        <v>15395129.875351829</v>
      </c>
      <c r="H143" s="97">
        <f t="shared" si="9"/>
        <v>1</v>
      </c>
    </row>
    <row r="145" spans="2:9">
      <c r="B145" s="3" t="s">
        <v>209</v>
      </c>
      <c r="C145" s="65">
        <f>C143-C66</f>
        <v>0.1979391798377037</v>
      </c>
      <c r="D145" s="65"/>
      <c r="E145" s="65">
        <f>E143-E66</f>
        <v>0.20100502297282219</v>
      </c>
      <c r="F145" s="65"/>
      <c r="G145" s="65">
        <f>G143-G66</f>
        <v>0</v>
      </c>
      <c r="H145" s="65"/>
      <c r="I145" s="102"/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B89A71-33CF-4A17-B6DD-1EC19AC59F31}">
  <dimension ref="B1:O109"/>
  <sheetViews>
    <sheetView showGridLines="0" zoomScaleNormal="100" workbookViewId="0">
      <selection activeCell="M10" sqref="M10"/>
    </sheetView>
  </sheetViews>
  <sheetFormatPr defaultColWidth="8.7109375" defaultRowHeight="15" outlineLevelRow="1" outlineLevelCol="1"/>
  <cols>
    <col min="2" max="2" width="56" style="3" customWidth="1" outlineLevel="1"/>
    <col min="3" max="3" width="15.5703125" style="3" customWidth="1" outlineLevel="1"/>
    <col min="4" max="4" width="7.5703125" style="52" customWidth="1" outlineLevel="1"/>
    <col min="5" max="5" width="15.5703125" style="3" customWidth="1" outlineLevel="1"/>
    <col min="6" max="6" width="7.5703125" style="52" customWidth="1" outlineLevel="1"/>
    <col min="7" max="7" width="15.5703125" style="3" customWidth="1" outlineLevel="1"/>
    <col min="8" max="8" width="7.5703125" style="52" customWidth="1" outlineLevel="1"/>
    <col min="10" max="10" width="11.5703125" bestFit="1" customWidth="1"/>
    <col min="12" max="12" width="11.5703125" bestFit="1" customWidth="1"/>
    <col min="14" max="14" width="11.5703125" bestFit="1" customWidth="1"/>
  </cols>
  <sheetData>
    <row r="1" spans="2:8">
      <c r="B1" s="1"/>
      <c r="C1" s="1"/>
      <c r="D1" s="45"/>
      <c r="E1" s="1"/>
      <c r="F1" s="45"/>
      <c r="G1" s="1"/>
      <c r="H1" s="45"/>
    </row>
    <row r="2" spans="2:8">
      <c r="B2" s="2" t="s">
        <v>67</v>
      </c>
      <c r="C2" s="35" t="s">
        <v>205</v>
      </c>
      <c r="D2" s="46"/>
      <c r="E2" s="35"/>
      <c r="F2" s="46"/>
      <c r="G2" s="35"/>
      <c r="H2" s="46"/>
    </row>
    <row r="3" spans="2:8">
      <c r="C3" s="4" t="s">
        <v>204</v>
      </c>
      <c r="D3" s="47"/>
      <c r="E3" s="4" t="s">
        <v>204</v>
      </c>
      <c r="F3" s="47"/>
      <c r="G3" s="4" t="s">
        <v>204</v>
      </c>
      <c r="H3" s="47"/>
    </row>
    <row r="4" spans="2:8">
      <c r="B4" s="113" t="s">
        <v>210</v>
      </c>
      <c r="C4" s="34">
        <v>46021</v>
      </c>
      <c r="D4" s="37"/>
      <c r="E4" s="34">
        <v>45655</v>
      </c>
      <c r="F4" s="37"/>
      <c r="G4" s="34">
        <v>45657</v>
      </c>
      <c r="H4" s="37"/>
    </row>
    <row r="5" spans="2:8">
      <c r="B5"/>
      <c r="C5" s="33">
        <v>4.9489999999999998</v>
      </c>
      <c r="D5" s="48"/>
      <c r="E5" s="33">
        <v>4.9749999999999996</v>
      </c>
      <c r="F5" s="48"/>
      <c r="G5" s="33">
        <v>4.9740000000000002</v>
      </c>
      <c r="H5" s="48"/>
    </row>
    <row r="6" spans="2:8">
      <c r="B6" s="5"/>
      <c r="C6" s="6"/>
      <c r="D6" s="49"/>
      <c r="E6" s="6"/>
      <c r="F6" s="49"/>
      <c r="G6" s="6"/>
      <c r="H6" s="49"/>
    </row>
    <row r="7" spans="2:8" ht="45">
      <c r="B7" s="7" t="s">
        <v>0</v>
      </c>
      <c r="C7" s="8" t="s">
        <v>88</v>
      </c>
      <c r="D7" s="127"/>
      <c r="E7" s="8" t="s">
        <v>68</v>
      </c>
      <c r="F7" s="127"/>
      <c r="G7" s="8" t="s">
        <v>69</v>
      </c>
      <c r="H7" s="127"/>
    </row>
    <row r="8" spans="2:8">
      <c r="B8" s="5" t="s">
        <v>294</v>
      </c>
      <c r="C8" s="9">
        <f>SUM(C11:C14)</f>
        <v>38216485.956758939</v>
      </c>
      <c r="D8" s="50">
        <f>C8/C24</f>
        <v>0.9884008046722923</v>
      </c>
      <c r="E8" s="9">
        <v>37396294.271356784</v>
      </c>
      <c r="F8" s="50">
        <f>E8/E24</f>
        <v>0.98546718135576294</v>
      </c>
      <c r="G8" s="9">
        <f>SUM(G11:G14)</f>
        <v>34006908.524326496</v>
      </c>
      <c r="H8" s="50">
        <f>G8/G24</f>
        <v>0.98263515739983487</v>
      </c>
    </row>
    <row r="9" spans="2:8" outlineLevel="1">
      <c r="B9" s="10" t="s">
        <v>2</v>
      </c>
      <c r="C9" s="13">
        <v>0</v>
      </c>
      <c r="D9" s="53"/>
      <c r="E9" s="13">
        <v>0</v>
      </c>
      <c r="F9" s="53"/>
      <c r="G9" s="13">
        <v>32096156.011258543</v>
      </c>
      <c r="H9" s="53"/>
    </row>
    <row r="10" spans="2:8" ht="22.5" outlineLevel="1">
      <c r="B10" s="12" t="s">
        <v>3</v>
      </c>
      <c r="C10" s="3">
        <v>0</v>
      </c>
      <c r="E10" s="13">
        <v>0</v>
      </c>
      <c r="G10" s="13">
        <v>341506.25452352234</v>
      </c>
    </row>
    <row r="11" spans="2:8" outlineLevel="1">
      <c r="B11" s="10" t="s">
        <v>302</v>
      </c>
      <c r="C11" s="13">
        <v>36069540.311173975</v>
      </c>
      <c r="D11" s="50">
        <f>C11/C24</f>
        <v>0.93287390965413464</v>
      </c>
      <c r="E11" s="13">
        <v>0</v>
      </c>
      <c r="F11" s="50">
        <f>E11/E24</f>
        <v>0</v>
      </c>
      <c r="G11" s="13">
        <v>32197889.022919178</v>
      </c>
      <c r="H11" s="50">
        <f>G11/G24</f>
        <v>0.93036324443740959</v>
      </c>
    </row>
    <row r="12" spans="2:8" outlineLevel="1">
      <c r="B12" s="10" t="s">
        <v>303</v>
      </c>
      <c r="C12" s="13">
        <v>2146945.6455849665</v>
      </c>
      <c r="D12" s="50">
        <f>C12/C24</f>
        <v>5.5526895018157787E-2</v>
      </c>
      <c r="E12" s="13">
        <v>0</v>
      </c>
      <c r="F12" s="50">
        <f>E12/E24</f>
        <v>0</v>
      </c>
      <c r="G12" s="13">
        <v>1809019.5014073181</v>
      </c>
      <c r="H12" s="50">
        <f>G12/G24</f>
        <v>5.2271912962425213E-2</v>
      </c>
    </row>
    <row r="13" spans="2:8" outlineLevel="1">
      <c r="B13" s="10" t="s">
        <v>304</v>
      </c>
      <c r="C13" s="13">
        <v>0</v>
      </c>
      <c r="D13" s="53"/>
      <c r="E13" s="13">
        <v>0</v>
      </c>
      <c r="F13" s="53"/>
      <c r="G13" s="13">
        <v>0</v>
      </c>
      <c r="H13" s="53"/>
    </row>
    <row r="14" spans="2:8" outlineLevel="1">
      <c r="B14" s="14" t="s">
        <v>305</v>
      </c>
      <c r="C14" s="13">
        <v>0</v>
      </c>
      <c r="D14" s="53"/>
      <c r="E14" s="13">
        <v>0</v>
      </c>
      <c r="F14" s="53"/>
      <c r="G14" s="13">
        <v>0</v>
      </c>
      <c r="H14" s="53"/>
    </row>
    <row r="15" spans="2:8">
      <c r="B15" s="10" t="s">
        <v>295</v>
      </c>
      <c r="C15" s="13">
        <v>0</v>
      </c>
      <c r="D15" s="53"/>
      <c r="E15" s="13">
        <v>0</v>
      </c>
      <c r="F15" s="53"/>
      <c r="G15" s="13">
        <v>0</v>
      </c>
      <c r="H15" s="53"/>
    </row>
    <row r="16" spans="2:8" outlineLevel="1">
      <c r="B16" s="10" t="s">
        <v>306</v>
      </c>
      <c r="C16" s="13">
        <v>0</v>
      </c>
      <c r="D16" s="53"/>
      <c r="E16" s="13">
        <v>0</v>
      </c>
      <c r="F16" s="53"/>
      <c r="G16" s="13">
        <v>0</v>
      </c>
      <c r="H16" s="53"/>
    </row>
    <row r="17" spans="2:15" ht="22.5">
      <c r="B17" s="5" t="s">
        <v>296</v>
      </c>
      <c r="C17" s="13">
        <v>0</v>
      </c>
      <c r="D17" s="53"/>
      <c r="E17" s="13">
        <v>0</v>
      </c>
      <c r="F17" s="53"/>
      <c r="G17" s="13">
        <v>0</v>
      </c>
      <c r="H17" s="53"/>
    </row>
    <row r="18" spans="2:15">
      <c r="B18" s="10" t="s">
        <v>297</v>
      </c>
      <c r="C18" s="13">
        <v>0</v>
      </c>
      <c r="D18" s="53"/>
      <c r="E18" s="13">
        <v>0</v>
      </c>
      <c r="F18" s="53"/>
      <c r="G18" s="13">
        <v>0</v>
      </c>
      <c r="H18" s="53"/>
    </row>
    <row r="19" spans="2:15">
      <c r="B19" s="10" t="s">
        <v>298</v>
      </c>
      <c r="C19" s="13">
        <v>0</v>
      </c>
      <c r="D19" s="53"/>
      <c r="E19" s="13">
        <v>0</v>
      </c>
      <c r="F19" s="53"/>
      <c r="G19" s="13">
        <v>0</v>
      </c>
      <c r="H19" s="53"/>
    </row>
    <row r="20" spans="2:15">
      <c r="B20" s="10" t="s">
        <v>299</v>
      </c>
      <c r="C20" s="3">
        <v>0</v>
      </c>
      <c r="E20" s="13">
        <v>0</v>
      </c>
      <c r="G20" s="13">
        <v>0</v>
      </c>
    </row>
    <row r="21" spans="2:15">
      <c r="B21" s="5" t="s">
        <v>300</v>
      </c>
      <c r="C21" s="9">
        <v>448482.52172155993</v>
      </c>
      <c r="D21" s="50">
        <f>C21/C24</f>
        <v>1.1599195327707789E-2</v>
      </c>
      <c r="E21" s="9">
        <v>551488.24120603024</v>
      </c>
      <c r="F21" s="50">
        <f>E21/E24</f>
        <v>1.4532818644237175E-2</v>
      </c>
      <c r="G21" s="9">
        <v>600960.19300361874</v>
      </c>
      <c r="H21" s="50">
        <f>G21/G24</f>
        <v>1.7364842600165208E-2</v>
      </c>
    </row>
    <row r="22" spans="2:15" outlineLevel="1">
      <c r="B22" s="15" t="s">
        <v>307</v>
      </c>
      <c r="C22" s="9">
        <v>6159.6282077187316</v>
      </c>
      <c r="D22" s="50">
        <f>C22/C24</f>
        <v>1.5930772609182276E-4</v>
      </c>
      <c r="E22" s="13">
        <v>0</v>
      </c>
      <c r="F22" s="50"/>
      <c r="G22" s="13">
        <v>0</v>
      </c>
      <c r="H22" s="50"/>
    </row>
    <row r="23" spans="2:15" outlineLevel="1">
      <c r="B23" s="15" t="s">
        <v>308</v>
      </c>
      <c r="C23" s="13">
        <v>0</v>
      </c>
      <c r="D23" s="53"/>
      <c r="E23" s="13">
        <v>0</v>
      </c>
      <c r="F23" s="53"/>
      <c r="G23" s="13">
        <v>0</v>
      </c>
      <c r="H23" s="53"/>
    </row>
    <row r="24" spans="2:15" ht="22.5">
      <c r="B24" s="77" t="s">
        <v>301</v>
      </c>
      <c r="C24" s="125">
        <f>SUM(C21,C8)</f>
        <v>38664968.478480496</v>
      </c>
      <c r="D24" s="126">
        <f>SUM(D11:D23)</f>
        <v>1.000159307726092</v>
      </c>
      <c r="E24" s="125">
        <f>SUM(E21,E8)</f>
        <v>37947782.512562811</v>
      </c>
      <c r="F24" s="126">
        <f>SUM(F11:F23)</f>
        <v>1.4532818644237175E-2</v>
      </c>
      <c r="G24" s="125">
        <f>SUM(G21,G8)</f>
        <v>34607868.717330113</v>
      </c>
      <c r="H24" s="126">
        <f>SUM(H11:H23)</f>
        <v>1</v>
      </c>
      <c r="I24" s="117"/>
      <c r="J24" s="102"/>
      <c r="K24" s="102"/>
      <c r="L24" s="102"/>
      <c r="M24" s="102"/>
      <c r="N24" s="102"/>
      <c r="O24" s="102"/>
    </row>
    <row r="25" spans="2:15">
      <c r="B25" s="63" t="s">
        <v>206</v>
      </c>
      <c r="C25" s="9"/>
      <c r="D25" s="50"/>
      <c r="E25" s="128">
        <f>E24/C24-1</f>
        <v>-1.8548727546922605E-2</v>
      </c>
      <c r="F25" s="50"/>
      <c r="G25" s="128">
        <f>G24/E24-1</f>
        <v>-8.8013411432591671E-2</v>
      </c>
      <c r="H25" s="50"/>
    </row>
    <row r="26" spans="2:15">
      <c r="B26" s="5" t="s">
        <v>309</v>
      </c>
      <c r="C26" s="13">
        <v>6764286.9266518494</v>
      </c>
      <c r="D26" s="53">
        <f>C$26/$C$24</f>
        <v>0.17494613839958523</v>
      </c>
      <c r="E26" s="13">
        <v>6514435.1758793974</v>
      </c>
      <c r="F26" s="53">
        <f>E$26/$E$24</f>
        <v>0.17166840180247053</v>
      </c>
      <c r="G26" s="13">
        <v>5768370.5267390432</v>
      </c>
      <c r="H26" s="53">
        <f>G$26/$G$24</f>
        <v>0.16667800533612445</v>
      </c>
    </row>
    <row r="27" spans="2:15" outlineLevel="1">
      <c r="B27" s="10" t="s">
        <v>310</v>
      </c>
      <c r="C27" s="13">
        <v>30171.751869064457</v>
      </c>
      <c r="D27" s="53">
        <f>$C27/$C$24</f>
        <v>7.8033819905625813E-4</v>
      </c>
      <c r="E27" s="13">
        <v>33208.442211055277</v>
      </c>
      <c r="F27" s="53">
        <f>$E27/$E$24</f>
        <v>8.7510889997489179E-4</v>
      </c>
      <c r="G27" s="13">
        <v>21910.333735424207</v>
      </c>
      <c r="H27" s="53">
        <f>$G27/$G$24</f>
        <v>6.33102659813676E-4</v>
      </c>
    </row>
    <row r="28" spans="2:15" outlineLevel="1">
      <c r="B28" s="10" t="s">
        <v>311</v>
      </c>
      <c r="C28" s="13">
        <v>86376.439684784811</v>
      </c>
      <c r="D28" s="53">
        <f>$C28/$C$24</f>
        <v>2.2339715531608092E-3</v>
      </c>
      <c r="E28" s="13">
        <v>61133.065326633172</v>
      </c>
      <c r="F28" s="53">
        <f t="shared" ref="F28:F90" si="0">$E28/$E$24</f>
        <v>1.6109785942405132E-3</v>
      </c>
      <c r="G28" s="13">
        <v>40715.319662243666</v>
      </c>
      <c r="H28" s="53">
        <f t="shared" ref="H28:H90" si="1">$G28/$G$24</f>
        <v>1.1764757892142375E-3</v>
      </c>
    </row>
    <row r="29" spans="2:15" outlineLevel="1">
      <c r="B29" s="12" t="s">
        <v>312</v>
      </c>
      <c r="C29" s="13">
        <v>84990.099009900994</v>
      </c>
      <c r="D29" s="53">
        <f>$C29/$C$24</f>
        <v>2.1981163403043602E-3</v>
      </c>
      <c r="E29" s="13">
        <v>58890.452261306535</v>
      </c>
      <c r="F29" s="53">
        <f t="shared" si="0"/>
        <v>1.5518812526610888E-3</v>
      </c>
      <c r="G29" s="13">
        <v>37208.484117410531</v>
      </c>
      <c r="H29" s="53">
        <f t="shared" si="1"/>
        <v>1.0751452053092811E-3</v>
      </c>
    </row>
    <row r="30" spans="2:15" outlineLevel="1">
      <c r="B30" s="12" t="s">
        <v>313</v>
      </c>
      <c r="C30" s="13">
        <v>0</v>
      </c>
      <c r="D30" s="53"/>
      <c r="E30" s="13">
        <v>0</v>
      </c>
      <c r="F30" s="53"/>
      <c r="G30" s="13">
        <v>0</v>
      </c>
      <c r="H30" s="53"/>
    </row>
    <row r="31" spans="2:15">
      <c r="B31" s="10" t="s">
        <v>314</v>
      </c>
      <c r="C31" s="13">
        <v>2145422.1054758537</v>
      </c>
      <c r="D31" s="53">
        <f>$C31/$C$24</f>
        <v>5.5487491388229553E-2</v>
      </c>
      <c r="E31" s="13">
        <v>1748810.4522613066</v>
      </c>
      <c r="F31" s="53">
        <f t="shared" si="0"/>
        <v>4.6084654661503709E-2</v>
      </c>
      <c r="G31" s="13">
        <v>1808855.6493767591</v>
      </c>
      <c r="H31" s="53">
        <f t="shared" si="1"/>
        <v>5.2267178431330649E-2</v>
      </c>
    </row>
    <row r="32" spans="2:15" outlineLevel="1">
      <c r="B32" s="10" t="s">
        <v>315</v>
      </c>
      <c r="C32" s="13">
        <v>0</v>
      </c>
      <c r="D32" s="53"/>
      <c r="E32" s="13">
        <v>0</v>
      </c>
      <c r="F32" s="53"/>
      <c r="G32" s="13">
        <v>0</v>
      </c>
      <c r="H32" s="53"/>
    </row>
    <row r="33" spans="2:9">
      <c r="B33" s="5" t="s">
        <v>316</v>
      </c>
      <c r="C33" s="9">
        <f>SUM(C34:C35)</f>
        <v>3420668.4178621946</v>
      </c>
      <c r="D33" s="50">
        <f>$C33/$C$24</f>
        <v>8.8469447990524377E-2</v>
      </c>
      <c r="E33" s="9">
        <f>SUM(E34:E35)</f>
        <v>4168543.1155778901</v>
      </c>
      <c r="F33" s="50">
        <f t="shared" si="0"/>
        <v>0.10984945205158884</v>
      </c>
      <c r="G33" s="9">
        <f>SUM(G34:G35)</f>
        <v>4283540.6111781262</v>
      </c>
      <c r="H33" s="50">
        <f t="shared" si="1"/>
        <v>0.12377360322778605</v>
      </c>
      <c r="I33" s="117"/>
    </row>
    <row r="34" spans="2:9">
      <c r="B34" s="10" t="s">
        <v>317</v>
      </c>
      <c r="C34" s="13">
        <v>3347551.6265912307</v>
      </c>
      <c r="D34" s="53">
        <f t="shared" ref="D34:D98" si="2">$C34/$C$24</f>
        <v>8.6578413440433946E-2</v>
      </c>
      <c r="E34" s="13">
        <v>4079188.7437185934</v>
      </c>
      <c r="F34" s="53">
        <f t="shared" si="0"/>
        <v>0.10749478556140024</v>
      </c>
      <c r="G34" s="13">
        <v>4188603.7394451145</v>
      </c>
      <c r="H34" s="53">
        <f t="shared" si="1"/>
        <v>0.12103038686539065</v>
      </c>
    </row>
    <row r="35" spans="2:9">
      <c r="B35" s="10" t="s">
        <v>318</v>
      </c>
      <c r="C35" s="13">
        <v>73116.791270963833</v>
      </c>
      <c r="D35" s="53">
        <f t="shared" si="2"/>
        <v>1.891034550090425E-3</v>
      </c>
      <c r="E35" s="13">
        <v>89354.371859296487</v>
      </c>
      <c r="F35" s="53">
        <f t="shared" si="0"/>
        <v>2.3546664901885968E-3</v>
      </c>
      <c r="G35" s="13">
        <v>94936.871733011663</v>
      </c>
      <c r="H35" s="53">
        <f t="shared" si="1"/>
        <v>2.7432163623953942E-3</v>
      </c>
    </row>
    <row r="36" spans="2:9">
      <c r="B36" s="5" t="s">
        <v>319</v>
      </c>
      <c r="C36" s="9">
        <f>SUM(C37:C39)</f>
        <v>2860043.2410587999</v>
      </c>
      <c r="D36" s="50">
        <f t="shared" si="2"/>
        <v>7.3969884202817734E-2</v>
      </c>
      <c r="E36" s="9">
        <f>SUM(E37:E39)</f>
        <v>2910385.1256281408</v>
      </c>
      <c r="F36" s="50">
        <f t="shared" si="0"/>
        <v>7.6694471532418068E-2</v>
      </c>
      <c r="G36" s="9">
        <f>SUM(G37:G39)</f>
        <v>2502104.1415359871</v>
      </c>
      <c r="H36" s="50">
        <f t="shared" si="1"/>
        <v>7.2298706458136852E-2</v>
      </c>
    </row>
    <row r="37" spans="2:9">
      <c r="B37" s="10" t="s">
        <v>320</v>
      </c>
      <c r="C37" s="13">
        <v>2860043.2410587999</v>
      </c>
      <c r="D37" s="53">
        <f t="shared" si="2"/>
        <v>7.3969884202817734E-2</v>
      </c>
      <c r="E37" s="13">
        <v>2910385.1256281408</v>
      </c>
      <c r="F37" s="53">
        <f t="shared" si="0"/>
        <v>7.6694471532418068E-2</v>
      </c>
      <c r="G37" s="13">
        <v>2502104.1415359871</v>
      </c>
      <c r="H37" s="53">
        <f t="shared" si="1"/>
        <v>7.2298706458136852E-2</v>
      </c>
    </row>
    <row r="38" spans="2:9" outlineLevel="1">
      <c r="B38" s="10" t="s">
        <v>321</v>
      </c>
      <c r="C38" s="13">
        <v>0</v>
      </c>
      <c r="D38" s="53"/>
      <c r="E38" s="13">
        <v>0</v>
      </c>
      <c r="F38" s="53"/>
      <c r="G38" s="13">
        <v>0</v>
      </c>
      <c r="H38" s="53"/>
    </row>
    <row r="39" spans="2:9" outlineLevel="1">
      <c r="B39" s="10" t="s">
        <v>322</v>
      </c>
      <c r="C39" s="13">
        <v>0</v>
      </c>
      <c r="D39" s="53"/>
      <c r="E39" s="13">
        <v>0</v>
      </c>
      <c r="F39" s="53"/>
      <c r="G39" s="13">
        <v>0</v>
      </c>
      <c r="H39" s="53"/>
    </row>
    <row r="40" spans="2:9">
      <c r="B40" s="5" t="s">
        <v>323</v>
      </c>
      <c r="C40" s="9">
        <f>C41-C42</f>
        <v>1497.2721761972061</v>
      </c>
      <c r="D40" s="50">
        <f t="shared" si="2"/>
        <v>3.87242569984386E-5</v>
      </c>
      <c r="E40" s="9">
        <f>E41-E42</f>
        <v>-6619.2964824120609</v>
      </c>
      <c r="F40" s="50">
        <f t="shared" si="0"/>
        <v>-1.7443170704956761E-4</v>
      </c>
      <c r="G40" s="9">
        <f>G41-G42</f>
        <v>36502.010454362688</v>
      </c>
      <c r="H40" s="50">
        <f t="shared" si="1"/>
        <v>1.0547315338168765E-3</v>
      </c>
    </row>
    <row r="41" spans="2:9" outlineLevel="1">
      <c r="B41" s="10" t="s">
        <v>324</v>
      </c>
      <c r="C41" s="13">
        <v>60289.351384118003</v>
      </c>
      <c r="D41" s="53">
        <f t="shared" si="2"/>
        <v>1.5592758446880113E-3</v>
      </c>
      <c r="E41" s="13">
        <v>8057.2864321608049</v>
      </c>
      <c r="F41" s="53">
        <f t="shared" si="0"/>
        <v>2.1232561954030905E-4</v>
      </c>
      <c r="G41" s="13">
        <v>48636.710896662647</v>
      </c>
      <c r="H41" s="53">
        <f t="shared" si="1"/>
        <v>1.405365678363993E-3</v>
      </c>
    </row>
    <row r="42" spans="2:9" outlineLevel="1">
      <c r="B42" s="10" t="s">
        <v>325</v>
      </c>
      <c r="C42" s="13">
        <v>58792.079207920797</v>
      </c>
      <c r="D42" s="53">
        <f t="shared" si="2"/>
        <v>1.5205515876895725E-3</v>
      </c>
      <c r="E42" s="13">
        <v>14676.582914572866</v>
      </c>
      <c r="F42" s="53">
        <f t="shared" si="0"/>
        <v>3.8675732658987667E-4</v>
      </c>
      <c r="G42" s="13">
        <v>12134.70044229996</v>
      </c>
      <c r="H42" s="53">
        <f t="shared" si="1"/>
        <v>3.5063414454711652E-4</v>
      </c>
    </row>
    <row r="43" spans="2:9">
      <c r="B43" s="5" t="s">
        <v>326</v>
      </c>
      <c r="C43" s="9">
        <f>SUM(C44:C59)-C50-C52-C54-C45</f>
        <v>20860356.839765608</v>
      </c>
      <c r="D43" s="50">
        <f>SUM(D44:D59)</f>
        <v>0.53951992550895322</v>
      </c>
      <c r="E43" s="9">
        <f>SUM(E44:E59)-E50-E52-E54-E45</f>
        <v>20773837.989949752</v>
      </c>
      <c r="F43" s="50">
        <f t="shared" si="0"/>
        <v>0.54743219799661458</v>
      </c>
      <c r="G43" s="9">
        <f>SUM(G44:G59)-G50-G52-G54-G45</f>
        <v>19593998.592681941</v>
      </c>
      <c r="H43" s="50">
        <f t="shared" si="1"/>
        <v>0.56617177881486014</v>
      </c>
    </row>
    <row r="44" spans="2:9">
      <c r="B44" s="10" t="s">
        <v>327</v>
      </c>
      <c r="C44" s="13">
        <v>20609083.653263286</v>
      </c>
      <c r="D44" s="53">
        <f t="shared" si="2"/>
        <v>0.53301695214709788</v>
      </c>
      <c r="E44" s="13">
        <v>20097554.572864324</v>
      </c>
      <c r="F44" s="53">
        <f t="shared" si="0"/>
        <v>0.5296107767617495</v>
      </c>
      <c r="G44" s="13">
        <v>19154839.565741856</v>
      </c>
      <c r="H44" s="53">
        <f t="shared" si="1"/>
        <v>0.55348220724583208</v>
      </c>
    </row>
    <row r="45" spans="2:9" outlineLevel="1">
      <c r="B45" s="10" t="s">
        <v>328</v>
      </c>
      <c r="C45" s="13">
        <v>164.07355021216406</v>
      </c>
      <c r="D45" s="53">
        <f t="shared" si="2"/>
        <v>4.2434678384254051E-6</v>
      </c>
      <c r="E45" s="13">
        <v>35171.45728643216</v>
      </c>
      <c r="F45" s="53">
        <f t="shared" si="0"/>
        <v>9.2683827506359466E-4</v>
      </c>
      <c r="G45" s="13">
        <v>85481.302774427022</v>
      </c>
      <c r="H45" s="53">
        <f t="shared" si="1"/>
        <v>2.4699961581749097E-3</v>
      </c>
    </row>
    <row r="46" spans="2:9" outlineLevel="1">
      <c r="B46" s="12" t="s">
        <v>329</v>
      </c>
      <c r="C46" s="13">
        <v>0</v>
      </c>
      <c r="D46" s="53"/>
      <c r="E46" s="13">
        <v>0</v>
      </c>
      <c r="F46" s="53"/>
      <c r="G46" s="13">
        <v>0</v>
      </c>
      <c r="H46" s="53"/>
    </row>
    <row r="47" spans="2:9" outlineLevel="1">
      <c r="B47" s="12" t="s">
        <v>330</v>
      </c>
      <c r="C47" s="13">
        <v>0</v>
      </c>
      <c r="D47" s="53"/>
      <c r="E47" s="13">
        <v>0</v>
      </c>
      <c r="F47" s="53"/>
      <c r="G47" s="13">
        <v>0</v>
      </c>
      <c r="H47" s="53"/>
    </row>
    <row r="48" spans="2:9" outlineLevel="1">
      <c r="B48" s="12" t="s">
        <v>331</v>
      </c>
      <c r="C48" s="13">
        <v>164.07355021216406</v>
      </c>
      <c r="D48" s="53">
        <f t="shared" si="2"/>
        <v>4.2434678384254051E-6</v>
      </c>
      <c r="E48" s="13">
        <v>35171.45728643216</v>
      </c>
      <c r="F48" s="53">
        <f t="shared" si="0"/>
        <v>9.2683827506359466E-4</v>
      </c>
      <c r="G48" s="13">
        <v>85481.302774427022</v>
      </c>
      <c r="H48" s="53">
        <f t="shared" si="1"/>
        <v>2.4699961581749097E-3</v>
      </c>
    </row>
    <row r="49" spans="2:8" outlineLevel="1">
      <c r="B49" s="10" t="s">
        <v>332</v>
      </c>
      <c r="C49" s="13">
        <v>0</v>
      </c>
      <c r="D49" s="53"/>
      <c r="E49" s="13">
        <v>0</v>
      </c>
      <c r="F49" s="53"/>
      <c r="G49" s="13">
        <v>0</v>
      </c>
      <c r="H49" s="53"/>
    </row>
    <row r="50" spans="2:8" outlineLevel="1">
      <c r="B50" s="10" t="s">
        <v>36</v>
      </c>
      <c r="C50" s="13">
        <v>0</v>
      </c>
      <c r="D50" s="53"/>
      <c r="E50" s="13">
        <v>0</v>
      </c>
      <c r="F50" s="53"/>
      <c r="G50" s="13">
        <v>0</v>
      </c>
      <c r="H50" s="53"/>
    </row>
    <row r="51" spans="2:8" outlineLevel="1">
      <c r="B51" s="10" t="s">
        <v>333</v>
      </c>
      <c r="C51" s="13">
        <v>0</v>
      </c>
      <c r="D51" s="53"/>
      <c r="E51" s="13">
        <v>0</v>
      </c>
      <c r="F51" s="53"/>
      <c r="G51" s="13">
        <v>0</v>
      </c>
      <c r="H51" s="53"/>
    </row>
    <row r="52" spans="2:8" outlineLevel="1">
      <c r="B52" s="10" t="s">
        <v>36</v>
      </c>
      <c r="C52" s="13">
        <v>0</v>
      </c>
      <c r="D52" s="53"/>
      <c r="E52" s="13">
        <v>0</v>
      </c>
      <c r="F52" s="53"/>
      <c r="G52" s="13">
        <v>0</v>
      </c>
      <c r="H52" s="53"/>
    </row>
    <row r="53" spans="2:8" outlineLevel="1">
      <c r="B53" s="10" t="s">
        <v>334</v>
      </c>
      <c r="C53" s="13">
        <v>0</v>
      </c>
      <c r="D53" s="53"/>
      <c r="E53" s="13">
        <v>0</v>
      </c>
      <c r="F53" s="53"/>
      <c r="G53" s="13">
        <v>0</v>
      </c>
      <c r="H53" s="53"/>
    </row>
    <row r="54" spans="2:8" outlineLevel="1">
      <c r="B54" s="10" t="s">
        <v>36</v>
      </c>
      <c r="C54" s="13">
        <v>0</v>
      </c>
      <c r="D54" s="53"/>
      <c r="E54" s="13">
        <v>0</v>
      </c>
      <c r="F54" s="53"/>
      <c r="G54" s="13">
        <v>0</v>
      </c>
      <c r="H54" s="53"/>
    </row>
    <row r="55" spans="2:8" ht="22.5" outlineLevel="1">
      <c r="B55" s="10" t="s">
        <v>335</v>
      </c>
      <c r="C55" s="13">
        <v>101415.23540109114</v>
      </c>
      <c r="D55" s="53">
        <f t="shared" si="2"/>
        <v>2.6229230073609175E-3</v>
      </c>
      <c r="E55" s="13">
        <v>107909.34673366835</v>
      </c>
      <c r="F55" s="53">
        <f t="shared" si="0"/>
        <v>2.8436272053036144E-3</v>
      </c>
      <c r="G55" s="13">
        <v>126989.1435464415</v>
      </c>
      <c r="H55" s="53">
        <f t="shared" si="1"/>
        <v>3.6693719738612757E-3</v>
      </c>
    </row>
    <row r="56" spans="2:8" outlineLevel="1">
      <c r="B56" s="10" t="s">
        <v>336</v>
      </c>
      <c r="C56" s="13">
        <v>0</v>
      </c>
      <c r="D56" s="53"/>
      <c r="E56" s="13">
        <v>0</v>
      </c>
      <c r="F56" s="53"/>
      <c r="G56" s="13">
        <v>0</v>
      </c>
      <c r="H56" s="53"/>
    </row>
    <row r="57" spans="2:8" outlineLevel="1">
      <c r="B57" s="10" t="s">
        <v>337</v>
      </c>
      <c r="C57" s="13">
        <v>0</v>
      </c>
      <c r="D57" s="53"/>
      <c r="E57" s="13">
        <v>0</v>
      </c>
      <c r="F57" s="53"/>
      <c r="G57" s="13">
        <v>0</v>
      </c>
      <c r="H57" s="53"/>
    </row>
    <row r="58" spans="2:8" outlineLevel="1">
      <c r="B58" s="10" t="s">
        <v>338</v>
      </c>
      <c r="C58" s="13">
        <v>0</v>
      </c>
      <c r="D58" s="53"/>
      <c r="E58" s="13">
        <v>0</v>
      </c>
      <c r="F58" s="53"/>
      <c r="G58" s="13">
        <v>0</v>
      </c>
      <c r="H58" s="53"/>
    </row>
    <row r="59" spans="2:8" outlineLevel="1">
      <c r="B59" s="10" t="s">
        <v>339</v>
      </c>
      <c r="C59" s="13">
        <v>149693.87755102041</v>
      </c>
      <c r="D59" s="53">
        <f t="shared" si="2"/>
        <v>3.8715634188175932E-3</v>
      </c>
      <c r="E59" s="13">
        <v>533202.6130653267</v>
      </c>
      <c r="F59" s="53">
        <f t="shared" si="0"/>
        <v>1.4050955754497834E-2</v>
      </c>
      <c r="G59" s="13">
        <v>226688.58061921992</v>
      </c>
      <c r="H59" s="53">
        <f t="shared" si="1"/>
        <v>6.5502034369918933E-3</v>
      </c>
    </row>
    <row r="60" spans="2:8">
      <c r="B60" s="5" t="s">
        <v>340</v>
      </c>
      <c r="C60" s="9">
        <v>0</v>
      </c>
      <c r="D60" s="50"/>
      <c r="E60" s="9">
        <v>0</v>
      </c>
      <c r="F60" s="50"/>
      <c r="G60" s="9">
        <v>0</v>
      </c>
      <c r="H60" s="50">
        <f t="shared" si="1"/>
        <v>0</v>
      </c>
    </row>
    <row r="61" spans="2:8" outlineLevel="1">
      <c r="B61" s="10" t="s">
        <v>341</v>
      </c>
      <c r="C61" s="13">
        <v>0</v>
      </c>
      <c r="D61" s="53"/>
      <c r="E61" s="13">
        <v>0</v>
      </c>
      <c r="F61" s="53"/>
      <c r="G61" s="13">
        <v>0</v>
      </c>
      <c r="H61" s="53"/>
    </row>
    <row r="62" spans="2:8" outlineLevel="1">
      <c r="B62" s="10" t="s">
        <v>342</v>
      </c>
      <c r="C62" s="13">
        <v>0</v>
      </c>
      <c r="D62" s="53"/>
      <c r="E62" s="13">
        <v>0</v>
      </c>
      <c r="F62" s="53"/>
      <c r="G62" s="13">
        <v>0</v>
      </c>
      <c r="H62" s="53"/>
    </row>
    <row r="63" spans="2:8" ht="22.5">
      <c r="B63" s="77" t="s">
        <v>343</v>
      </c>
      <c r="C63" s="125">
        <f>C26+C27+C28+C31+C32+C33+C36+C40+C43+C60</f>
        <v>36168822.99454435</v>
      </c>
      <c r="D63" s="126">
        <f t="shared" si="2"/>
        <v>0.93544167803148714</v>
      </c>
      <c r="E63" s="125">
        <f>E26+E27+E28+E31+E32+E33+E36+E40+E43+E60</f>
        <v>36203734.070351765</v>
      </c>
      <c r="F63" s="126">
        <f t="shared" si="0"/>
        <v>0.95404083383176153</v>
      </c>
      <c r="G63" s="125">
        <f>G26+G27+G28+G31+G32+G33+G36+G40+G43+G60</f>
        <v>34055997.185363889</v>
      </c>
      <c r="H63" s="126">
        <f t="shared" si="1"/>
        <v>0.98405358225108297</v>
      </c>
    </row>
    <row r="64" spans="2:8" outlineLevel="1">
      <c r="B64" s="17" t="s">
        <v>48</v>
      </c>
      <c r="C64" s="9">
        <v>0</v>
      </c>
      <c r="D64" s="50"/>
      <c r="E64" s="9">
        <v>0</v>
      </c>
      <c r="F64" s="50"/>
      <c r="G64" s="9">
        <v>0</v>
      </c>
      <c r="H64" s="50"/>
    </row>
    <row r="65" spans="2:8">
      <c r="B65" s="5" t="s">
        <v>344</v>
      </c>
      <c r="C65" s="9">
        <f>IF(C24&gt;C63,C24-C63,0)</f>
        <v>2496145.4839361459</v>
      </c>
      <c r="D65" s="50">
        <f t="shared" si="2"/>
        <v>6.4558321968512897E-2</v>
      </c>
      <c r="E65" s="9">
        <f>IF(E24&gt;E63,E24-E63,0)</f>
        <v>1744048.4422110468</v>
      </c>
      <c r="F65" s="50">
        <f t="shared" si="0"/>
        <v>4.5959166168238433E-2</v>
      </c>
      <c r="G65" s="9">
        <f>IF(G24&gt;G63,G24-G63,0)</f>
        <v>551871.53196622431</v>
      </c>
      <c r="H65" s="50">
        <f t="shared" si="1"/>
        <v>1.5946417748917058E-2</v>
      </c>
    </row>
    <row r="66" spans="2:8" outlineLevel="1">
      <c r="B66" s="5" t="s">
        <v>345</v>
      </c>
      <c r="C66" s="9">
        <v>0</v>
      </c>
      <c r="D66" s="50"/>
      <c r="E66" s="9">
        <v>0</v>
      </c>
      <c r="F66" s="50"/>
      <c r="G66" s="9">
        <v>0</v>
      </c>
      <c r="H66" s="50"/>
    </row>
    <row r="67" spans="2:8" outlineLevel="1">
      <c r="B67" s="10" t="s">
        <v>346</v>
      </c>
      <c r="C67" s="13">
        <v>0</v>
      </c>
      <c r="D67" s="53"/>
      <c r="E67" s="13">
        <v>0</v>
      </c>
      <c r="F67" s="53"/>
      <c r="G67" s="13">
        <v>0</v>
      </c>
      <c r="H67" s="53"/>
    </row>
    <row r="68" spans="2:8" outlineLevel="1">
      <c r="B68" s="12" t="s">
        <v>368</v>
      </c>
      <c r="C68" s="18">
        <v>0</v>
      </c>
      <c r="D68" s="55"/>
      <c r="E68" s="18">
        <v>0</v>
      </c>
      <c r="F68" s="55"/>
      <c r="G68" s="18">
        <v>0</v>
      </c>
      <c r="H68" s="55"/>
    </row>
    <row r="69" spans="2:8">
      <c r="B69" s="63" t="s">
        <v>206</v>
      </c>
      <c r="C69" s="9"/>
      <c r="D69" s="50"/>
      <c r="E69" s="128">
        <f>E65/C65-1</f>
        <v>-0.30130336815910463</v>
      </c>
      <c r="F69" s="50"/>
      <c r="G69" s="128">
        <f>G65/E65-1</f>
        <v>-0.68356869074887627</v>
      </c>
      <c r="H69" s="50"/>
    </row>
    <row r="70" spans="2:8">
      <c r="B70" s="10" t="s">
        <v>347</v>
      </c>
      <c r="C70" s="13">
        <v>73234.18872499495</v>
      </c>
      <c r="D70" s="53">
        <f t="shared" si="2"/>
        <v>1.8940708244920572E-3</v>
      </c>
      <c r="E70" s="13">
        <v>232947.53768844221</v>
      </c>
      <c r="F70" s="53">
        <f t="shared" si="0"/>
        <v>6.1386337294234176E-3</v>
      </c>
      <c r="G70" s="13">
        <v>228424.40691596299</v>
      </c>
      <c r="H70" s="53">
        <f t="shared" si="1"/>
        <v>6.6003604203912734E-3</v>
      </c>
    </row>
    <row r="71" spans="2:8">
      <c r="B71" s="12" t="s">
        <v>52</v>
      </c>
      <c r="C71" s="18">
        <v>21972.396443726007</v>
      </c>
      <c r="D71" s="55">
        <f t="shared" si="2"/>
        <v>5.6827659011166758E-4</v>
      </c>
      <c r="E71" s="18">
        <v>209530.25125628142</v>
      </c>
      <c r="F71" s="55">
        <f t="shared" si="0"/>
        <v>5.5215413756236047E-3</v>
      </c>
      <c r="G71" s="18">
        <v>195674.1053478086</v>
      </c>
      <c r="H71" s="55">
        <f t="shared" si="1"/>
        <v>5.6540351255384737E-3</v>
      </c>
    </row>
    <row r="72" spans="2:8" ht="22.5">
      <c r="B72" s="10" t="s">
        <v>348</v>
      </c>
      <c r="C72" s="13">
        <v>0</v>
      </c>
      <c r="D72" s="53"/>
      <c r="E72" s="13">
        <v>0</v>
      </c>
      <c r="F72" s="53"/>
      <c r="G72" s="13">
        <v>0</v>
      </c>
      <c r="H72" s="53"/>
    </row>
    <row r="73" spans="2:8">
      <c r="B73" s="10" t="s">
        <v>349</v>
      </c>
      <c r="C73" s="13">
        <v>506588.4016973126</v>
      </c>
      <c r="D73" s="53">
        <f t="shared" si="2"/>
        <v>1.3101999604092814E-2</v>
      </c>
      <c r="E73" s="13">
        <v>541952.96482412063</v>
      </c>
      <c r="F73" s="53">
        <f t="shared" si="0"/>
        <v>1.4281545032168988E-2</v>
      </c>
      <c r="G73" s="13">
        <v>182803.3775633293</v>
      </c>
      <c r="H73" s="53">
        <f t="shared" si="1"/>
        <v>5.2821333511297482E-3</v>
      </c>
    </row>
    <row r="74" spans="2:8" outlineLevel="1">
      <c r="B74" s="12" t="s">
        <v>350</v>
      </c>
      <c r="C74" s="13">
        <v>0</v>
      </c>
      <c r="D74" s="53"/>
      <c r="E74" s="13">
        <v>0</v>
      </c>
      <c r="F74" s="53"/>
      <c r="G74" s="13">
        <v>0</v>
      </c>
      <c r="H74" s="53"/>
    </row>
    <row r="75" spans="2:8">
      <c r="B75" s="77" t="s">
        <v>351</v>
      </c>
      <c r="C75" s="125">
        <f>SUM(C67,C72,C73,C70)</f>
        <v>579822.59042230761</v>
      </c>
      <c r="D75" s="126">
        <f t="shared" si="2"/>
        <v>1.4996070428584873E-2</v>
      </c>
      <c r="E75" s="125">
        <f>SUM(E67,E72,E73,E70)</f>
        <v>774900.50251256279</v>
      </c>
      <c r="F75" s="126">
        <f t="shared" si="0"/>
        <v>2.0420178761592404E-2</v>
      </c>
      <c r="G75" s="125">
        <f>SUM(G67,G72,G73,G70)</f>
        <v>411227.78447929228</v>
      </c>
      <c r="H75" s="126">
        <f t="shared" si="1"/>
        <v>1.1882493771521022E-2</v>
      </c>
    </row>
    <row r="76" spans="2:8" ht="22.5">
      <c r="B76" s="10" t="s">
        <v>352</v>
      </c>
      <c r="C76" s="13">
        <v>0</v>
      </c>
      <c r="D76" s="53"/>
      <c r="E76" s="13">
        <v>0</v>
      </c>
      <c r="F76" s="53"/>
      <c r="G76" s="13">
        <v>0</v>
      </c>
      <c r="H76" s="53">
        <f t="shared" si="1"/>
        <v>0</v>
      </c>
    </row>
    <row r="77" spans="2:8" outlineLevel="1">
      <c r="B77" s="10" t="s">
        <v>353</v>
      </c>
      <c r="C77" s="13">
        <v>0</v>
      </c>
      <c r="D77" s="53"/>
      <c r="E77" s="13">
        <v>0</v>
      </c>
      <c r="F77" s="53"/>
      <c r="G77" s="13">
        <v>0</v>
      </c>
      <c r="H77" s="53"/>
    </row>
    <row r="78" spans="2:8" outlineLevel="1">
      <c r="B78" s="10" t="s">
        <v>354</v>
      </c>
      <c r="C78" s="13">
        <v>0</v>
      </c>
      <c r="D78" s="53"/>
      <c r="E78" s="13">
        <v>0</v>
      </c>
      <c r="F78" s="53"/>
      <c r="G78" s="13">
        <v>0</v>
      </c>
      <c r="H78" s="53"/>
    </row>
    <row r="79" spans="2:8">
      <c r="B79" s="10" t="s">
        <v>355</v>
      </c>
      <c r="C79" s="13">
        <v>281040.00808244088</v>
      </c>
      <c r="D79" s="53">
        <f t="shared" si="2"/>
        <v>7.2685952980630891E-3</v>
      </c>
      <c r="E79" s="13">
        <v>407228.74371859297</v>
      </c>
      <c r="F79" s="53">
        <f t="shared" si="0"/>
        <v>1.0731292232524463E-2</v>
      </c>
      <c r="G79" s="13">
        <v>333678.52834740648</v>
      </c>
      <c r="H79" s="53">
        <f t="shared" si="1"/>
        <v>9.6416953922480297E-3</v>
      </c>
    </row>
    <row r="80" spans="2:8" outlineLevel="1">
      <c r="B80" s="10" t="s">
        <v>36</v>
      </c>
      <c r="C80" s="18">
        <v>465.34653465346537</v>
      </c>
      <c r="D80" s="55">
        <f t="shared" si="2"/>
        <v>1.2035352748637574E-5</v>
      </c>
      <c r="E80" s="18">
        <v>0</v>
      </c>
      <c r="F80" s="55"/>
      <c r="G80" s="18">
        <v>0</v>
      </c>
      <c r="H80" s="55"/>
    </row>
    <row r="81" spans="2:9">
      <c r="B81" s="10" t="s">
        <v>356</v>
      </c>
      <c r="C81" s="13">
        <v>455423.11578096589</v>
      </c>
      <c r="D81" s="53">
        <f t="shared" si="2"/>
        <v>1.1778701333597045E-2</v>
      </c>
      <c r="E81" s="13">
        <v>549921.00502512569</v>
      </c>
      <c r="F81" s="53">
        <f t="shared" si="0"/>
        <v>1.449151883494303E-2</v>
      </c>
      <c r="G81" s="13">
        <v>137559.10735826296</v>
      </c>
      <c r="H81" s="53">
        <f t="shared" si="1"/>
        <v>3.9747927987654249E-3</v>
      </c>
    </row>
    <row r="82" spans="2:9">
      <c r="B82" s="77" t="s">
        <v>357</v>
      </c>
      <c r="C82" s="125">
        <f>SUM(C81,C79,C76)</f>
        <v>736463.12386340671</v>
      </c>
      <c r="D82" s="126">
        <f t="shared" si="2"/>
        <v>1.9047296631660132E-2</v>
      </c>
      <c r="E82" s="125">
        <f>SUM(E81,E79,E76)</f>
        <v>957149.74874371872</v>
      </c>
      <c r="F82" s="126">
        <f t="shared" si="0"/>
        <v>2.5222811067467495E-2</v>
      </c>
      <c r="G82" s="125">
        <f>SUM(G81,G79,G76)</f>
        <v>471237.63570566941</v>
      </c>
      <c r="H82" s="126">
        <f t="shared" si="1"/>
        <v>1.3616488191013455E-2</v>
      </c>
    </row>
    <row r="83" spans="2:9" outlineLevel="1">
      <c r="B83" s="10" t="s">
        <v>344</v>
      </c>
      <c r="C83" s="9">
        <v>0</v>
      </c>
      <c r="D83" s="50"/>
      <c r="E83" s="9">
        <v>0</v>
      </c>
      <c r="F83" s="50"/>
      <c r="G83" s="9">
        <v>0</v>
      </c>
      <c r="H83" s="50"/>
    </row>
    <row r="84" spans="2:9" outlineLevel="1">
      <c r="B84" s="10" t="s">
        <v>345</v>
      </c>
      <c r="C84" s="13">
        <v>156640.53344109922</v>
      </c>
      <c r="D84" s="53">
        <f t="shared" si="2"/>
        <v>4.0512262030752621E-3</v>
      </c>
      <c r="E84" s="13">
        <v>182249.24623115579</v>
      </c>
      <c r="F84" s="53">
        <f t="shared" si="0"/>
        <v>4.8026323058750859E-3</v>
      </c>
      <c r="G84" s="13">
        <v>60009.851226377155</v>
      </c>
      <c r="H84" s="53">
        <f t="shared" si="1"/>
        <v>1.7339944194924327E-3</v>
      </c>
    </row>
    <row r="85" spans="2:9">
      <c r="B85" s="77" t="s">
        <v>358</v>
      </c>
      <c r="C85" s="125">
        <f>C24+C75</f>
        <v>39244791.068902805</v>
      </c>
      <c r="D85" s="126">
        <f>$C85/$C$24</f>
        <v>1.014996070428585</v>
      </c>
      <c r="E85" s="125">
        <f>E24+E75</f>
        <v>38722683.015075371</v>
      </c>
      <c r="F85" s="126">
        <f t="shared" si="0"/>
        <v>1.0204201787615923</v>
      </c>
      <c r="G85" s="125">
        <f>G24+G75</f>
        <v>35019096.501809403</v>
      </c>
      <c r="H85" s="126">
        <f t="shared" si="1"/>
        <v>1.011882493771521</v>
      </c>
    </row>
    <row r="86" spans="2:9">
      <c r="B86" s="77" t="s">
        <v>359</v>
      </c>
      <c r="C86" s="125">
        <f>C63+C82</f>
        <v>36905286.118407756</v>
      </c>
      <c r="D86" s="126">
        <f t="shared" si="2"/>
        <v>0.95448897466314719</v>
      </c>
      <c r="E86" s="125">
        <f>E63+E82</f>
        <v>37160883.819095485</v>
      </c>
      <c r="F86" s="126">
        <f t="shared" si="0"/>
        <v>0.97926364489922912</v>
      </c>
      <c r="G86" s="125">
        <f>G63+G82</f>
        <v>34527234.821069561</v>
      </c>
      <c r="H86" s="126">
        <f t="shared" si="1"/>
        <v>0.99767007044209643</v>
      </c>
      <c r="I86" s="117"/>
    </row>
    <row r="87" spans="2:9" outlineLevel="1">
      <c r="B87" s="17" t="s">
        <v>62</v>
      </c>
      <c r="C87" s="13">
        <v>0</v>
      </c>
      <c r="D87" s="53"/>
      <c r="E87" s="13">
        <v>0</v>
      </c>
      <c r="F87" s="53"/>
      <c r="G87" s="13">
        <v>0</v>
      </c>
      <c r="H87" s="53"/>
    </row>
    <row r="88" spans="2:9">
      <c r="B88" s="10" t="s">
        <v>344</v>
      </c>
      <c r="C88" s="13">
        <v>2339504.9504950494</v>
      </c>
      <c r="D88" s="53">
        <f t="shared" si="2"/>
        <v>6.0507095765437703E-2</v>
      </c>
      <c r="E88" s="13">
        <v>1561799.1959798995</v>
      </c>
      <c r="F88" s="53">
        <f t="shared" si="0"/>
        <v>4.1156533862363572E-2</v>
      </c>
      <c r="G88" s="13">
        <v>491861.68073984719</v>
      </c>
      <c r="H88" s="53">
        <f t="shared" si="1"/>
        <v>1.4212423329424625E-2</v>
      </c>
    </row>
    <row r="89" spans="2:9" outlineLevel="1">
      <c r="B89" s="10" t="s">
        <v>345</v>
      </c>
      <c r="C89" s="13">
        <v>0</v>
      </c>
      <c r="D89" s="53"/>
      <c r="E89" s="13">
        <v>0</v>
      </c>
      <c r="F89" s="53"/>
      <c r="G89" s="13">
        <v>0</v>
      </c>
      <c r="H89" s="53"/>
    </row>
    <row r="90" spans="2:9">
      <c r="B90" s="5" t="s">
        <v>360</v>
      </c>
      <c r="C90" s="9">
        <v>364367.75106082036</v>
      </c>
      <c r="D90" s="50">
        <f t="shared" si="2"/>
        <v>9.4237177838025158E-3</v>
      </c>
      <c r="E90" s="9">
        <v>270599.79899497487</v>
      </c>
      <c r="F90" s="50">
        <f t="shared" si="0"/>
        <v>7.130846154327763E-3</v>
      </c>
      <c r="G90" s="9">
        <v>132156.41334941695</v>
      </c>
      <c r="H90" s="50">
        <f t="shared" si="1"/>
        <v>3.8186810759380505E-3</v>
      </c>
    </row>
    <row r="91" spans="2:9" outlineLevel="1">
      <c r="B91" s="20"/>
      <c r="C91" s="9">
        <v>0</v>
      </c>
      <c r="D91" s="50"/>
      <c r="E91" s="9">
        <v>0</v>
      </c>
      <c r="F91" s="50"/>
      <c r="G91" s="9">
        <v>0</v>
      </c>
      <c r="H91" s="50"/>
    </row>
    <row r="92" spans="2:9" ht="22.5" outlineLevel="1">
      <c r="B92" s="10" t="s">
        <v>361</v>
      </c>
      <c r="C92" s="9">
        <v>0</v>
      </c>
      <c r="D92" s="50"/>
      <c r="E92" s="9">
        <v>0</v>
      </c>
      <c r="F92" s="50"/>
      <c r="G92" s="9">
        <v>0</v>
      </c>
      <c r="H92" s="50"/>
    </row>
    <row r="93" spans="2:9" outlineLevel="1">
      <c r="B93" s="10"/>
      <c r="C93" s="9">
        <v>0</v>
      </c>
      <c r="D93" s="50"/>
      <c r="E93" s="9">
        <v>0</v>
      </c>
      <c r="F93" s="50"/>
      <c r="G93" s="9">
        <v>0</v>
      </c>
      <c r="H93" s="50"/>
    </row>
    <row r="94" spans="2:9" ht="22.5" outlineLevel="1">
      <c r="B94" s="10" t="s">
        <v>362</v>
      </c>
      <c r="C94" s="9">
        <v>0</v>
      </c>
      <c r="D94" s="50"/>
      <c r="E94" s="9">
        <v>0</v>
      </c>
      <c r="F94" s="50"/>
      <c r="G94" s="9">
        <v>0</v>
      </c>
      <c r="H94" s="50"/>
    </row>
    <row r="95" spans="2:9" outlineLevel="1">
      <c r="B95" s="5"/>
      <c r="C95" s="9">
        <v>0</v>
      </c>
      <c r="D95" s="50"/>
      <c r="E95" s="9">
        <v>0</v>
      </c>
      <c r="F95" s="50"/>
      <c r="G95" s="9">
        <v>0</v>
      </c>
      <c r="H95" s="50"/>
    </row>
    <row r="96" spans="2:9" ht="22.5">
      <c r="B96" s="5" t="s">
        <v>363</v>
      </c>
      <c r="C96" s="9">
        <v>0</v>
      </c>
      <c r="D96" s="50"/>
      <c r="E96" s="9">
        <v>0</v>
      </c>
      <c r="F96" s="50"/>
      <c r="G96" s="9">
        <v>0</v>
      </c>
      <c r="H96" s="50"/>
    </row>
    <row r="97" spans="2:8">
      <c r="B97" s="5" t="s">
        <v>364</v>
      </c>
      <c r="C97" s="9">
        <v>0</v>
      </c>
      <c r="D97" s="50"/>
      <c r="E97" s="9">
        <v>0</v>
      </c>
      <c r="F97" s="50"/>
      <c r="G97" s="9">
        <v>0</v>
      </c>
      <c r="H97" s="50"/>
    </row>
    <row r="98" spans="2:8" ht="22.5">
      <c r="B98" s="12" t="s">
        <v>365</v>
      </c>
      <c r="C98" s="9">
        <f>IF(C88-C90-C96-C97&gt;0,C88-C90-C96-C97)</f>
        <v>1975137.1994342289</v>
      </c>
      <c r="D98" s="50">
        <f t="shared" si="2"/>
        <v>5.1083377981635182E-2</v>
      </c>
      <c r="E98" s="9">
        <f>IF(E88-E90-E96-E97&gt;0,E88-E90-E96-E97)</f>
        <v>1291199.3969849246</v>
      </c>
      <c r="F98" s="50">
        <f t="shared" ref="F98" si="3">$E98/$E$24</f>
        <v>3.4025687708035803E-2</v>
      </c>
      <c r="G98" s="9">
        <f>IF(G88-G90-G96-G97&gt;0,G88-G90-G96-G97)</f>
        <v>359705.26739043021</v>
      </c>
      <c r="H98" s="50">
        <f t="shared" ref="H98" si="4">$G98/$G$24</f>
        <v>1.0393742253486575E-2</v>
      </c>
    </row>
    <row r="99" spans="2:8" outlineLevel="1">
      <c r="B99" s="12" t="s">
        <v>366</v>
      </c>
      <c r="C99" s="9">
        <v>0</v>
      </c>
      <c r="D99" s="50"/>
      <c r="E99" s="9">
        <v>0</v>
      </c>
      <c r="F99" s="50"/>
      <c r="G99" s="9">
        <v>0</v>
      </c>
      <c r="H99" s="50"/>
    </row>
    <row r="100" spans="2:8">
      <c r="B100" s="63" t="s">
        <v>206</v>
      </c>
      <c r="C100" s="9"/>
      <c r="D100" s="50"/>
      <c r="E100" s="128">
        <f>E98/C98-1</f>
        <v>-0.34627356653766428</v>
      </c>
      <c r="F100" s="50"/>
      <c r="G100" s="128">
        <f>G98/E98-1</f>
        <v>-0.72141772352869993</v>
      </c>
      <c r="H100" s="50"/>
    </row>
    <row r="101" spans="2:8">
      <c r="B101" s="22"/>
      <c r="C101" s="18"/>
      <c r="D101" s="55"/>
      <c r="E101" s="18"/>
      <c r="F101" s="55"/>
      <c r="G101" s="18"/>
      <c r="H101" s="55"/>
    </row>
    <row r="102" spans="2:8">
      <c r="C102" s="65"/>
    </row>
    <row r="104" spans="2:8">
      <c r="B104" s="115" t="s">
        <v>211</v>
      </c>
      <c r="C104" s="116">
        <f>C98+C90+C82-C75</f>
        <v>2496145.4839361482</v>
      </c>
      <c r="D104" s="116"/>
      <c r="E104" s="116">
        <f t="shared" ref="E104:G104" si="5">E98+E90+E82-E75</f>
        <v>1744048.4422110554</v>
      </c>
      <c r="F104" s="116"/>
      <c r="G104" s="116">
        <f t="shared" si="5"/>
        <v>551871.53196622431</v>
      </c>
      <c r="H104" s="65"/>
    </row>
    <row r="105" spans="2:8">
      <c r="C105" s="114">
        <f>C104/C24</f>
        <v>6.4558321968512952E-2</v>
      </c>
      <c r="D105" s="114"/>
      <c r="E105" s="114">
        <f t="shared" ref="E105:G105" si="6">E104/E24</f>
        <v>4.5959166168238662E-2</v>
      </c>
      <c r="F105" s="114"/>
      <c r="G105" s="114">
        <f t="shared" si="6"/>
        <v>1.5946417748917058E-2</v>
      </c>
      <c r="H105" s="65"/>
    </row>
    <row r="106" spans="2:8">
      <c r="B106" s="115" t="s">
        <v>212</v>
      </c>
      <c r="C106" s="116">
        <f>C104+C37</f>
        <v>5356188.7249949481</v>
      </c>
      <c r="D106" s="116"/>
      <c r="E106" s="116">
        <f>E104+E37</f>
        <v>4654433.567839196</v>
      </c>
      <c r="F106" s="116"/>
      <c r="G106" s="116">
        <f>G104+G37</f>
        <v>3053975.6735022115</v>
      </c>
    </row>
    <row r="107" spans="2:8">
      <c r="C107" s="114">
        <f>C106/C24</f>
        <v>0.13852820617133069</v>
      </c>
      <c r="D107" s="114"/>
      <c r="E107" s="114">
        <f t="shared" ref="E107:G107" si="7">E106/E24</f>
        <v>0.12265363770065672</v>
      </c>
      <c r="F107" s="114"/>
      <c r="G107" s="114">
        <f t="shared" si="7"/>
        <v>8.824512420705391E-2</v>
      </c>
    </row>
    <row r="109" spans="2:8">
      <c r="B109" s="3" t="s">
        <v>213</v>
      </c>
      <c r="G109" s="116">
        <v>1000000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B5A59D-EA0A-4DFE-B2B8-EAAED42932BC}">
  <dimension ref="B1:M145"/>
  <sheetViews>
    <sheetView showGridLines="0" topLeftCell="A114" workbookViewId="0">
      <selection activeCell="B7" sqref="B7:H145"/>
    </sheetView>
  </sheetViews>
  <sheetFormatPr defaultColWidth="11.42578125" defaultRowHeight="15" outlineLevelRow="1" outlineLevelCol="1"/>
  <cols>
    <col min="2" max="2" width="59.140625" style="3" customWidth="1" outlineLevel="1"/>
    <col min="3" max="3" width="15.5703125" style="3" customWidth="1" outlineLevel="1"/>
    <col min="4" max="4" width="7.5703125" style="36" customWidth="1" outlineLevel="1"/>
    <col min="5" max="5" width="15.5703125" style="3" customWidth="1" outlineLevel="1"/>
    <col min="6" max="6" width="6" style="36" customWidth="1" outlineLevel="1"/>
    <col min="7" max="7" width="15.5703125" style="3" customWidth="1" outlineLevel="1"/>
    <col min="8" max="8" width="7.5703125" style="36" customWidth="1" outlineLevel="1"/>
    <col min="10" max="10" width="11.5703125" bestFit="1" customWidth="1"/>
  </cols>
  <sheetData>
    <row r="1" spans="2:8">
      <c r="B1" s="1"/>
      <c r="C1" s="1"/>
      <c r="D1" s="45"/>
      <c r="E1" s="1"/>
      <c r="F1" s="45"/>
      <c r="G1" s="1"/>
      <c r="H1" s="45"/>
    </row>
    <row r="2" spans="2:8">
      <c r="B2" s="2" t="s">
        <v>67</v>
      </c>
      <c r="C2" s="35" t="s">
        <v>205</v>
      </c>
      <c r="D2" s="46"/>
      <c r="E2" s="35"/>
      <c r="F2" s="46"/>
      <c r="G2" s="35"/>
      <c r="H2" s="46"/>
    </row>
    <row r="3" spans="2:8">
      <c r="B3" s="23"/>
      <c r="C3" s="4" t="s">
        <v>204</v>
      </c>
      <c r="D3" s="47"/>
      <c r="E3" s="4" t="s">
        <v>204</v>
      </c>
      <c r="F3" s="47"/>
      <c r="G3" s="4" t="s">
        <v>204</v>
      </c>
      <c r="H3" s="47"/>
    </row>
    <row r="4" spans="2:8">
      <c r="B4" s="113" t="s">
        <v>210</v>
      </c>
      <c r="C4" s="34">
        <v>46021</v>
      </c>
      <c r="D4" s="37"/>
      <c r="E4" s="34">
        <v>45655</v>
      </c>
      <c r="F4" s="37"/>
      <c r="G4" s="34">
        <v>45657</v>
      </c>
      <c r="H4" s="37"/>
    </row>
    <row r="5" spans="2:8">
      <c r="B5" s="23"/>
      <c r="C5" s="33">
        <v>4.9489999999999998</v>
      </c>
      <c r="D5" s="48"/>
      <c r="E5" s="33">
        <v>4.9749999999999996</v>
      </c>
      <c r="F5" s="48"/>
      <c r="G5" s="33">
        <v>4.9740000000000002</v>
      </c>
      <c r="H5" s="48"/>
    </row>
    <row r="6" spans="2:8">
      <c r="B6" s="23"/>
      <c r="C6" s="33"/>
      <c r="D6" s="48"/>
      <c r="E6" s="4"/>
      <c r="F6" s="48"/>
      <c r="G6" s="4"/>
      <c r="H6" s="48"/>
    </row>
    <row r="7" spans="2:8" ht="33.75">
      <c r="B7" s="7" t="s">
        <v>0</v>
      </c>
      <c r="C7" s="8" t="s">
        <v>89</v>
      </c>
      <c r="D7" s="38"/>
      <c r="E7" s="8" t="s">
        <v>90</v>
      </c>
      <c r="F7" s="38"/>
      <c r="G7" s="8" t="s">
        <v>203</v>
      </c>
      <c r="H7" s="38"/>
    </row>
    <row r="8" spans="2:8">
      <c r="B8" s="5" t="s">
        <v>91</v>
      </c>
      <c r="C8" s="24"/>
      <c r="D8" s="119"/>
      <c r="E8" s="24"/>
      <c r="F8" s="119"/>
      <c r="G8" s="24"/>
      <c r="H8" s="119"/>
    </row>
    <row r="9" spans="2:8">
      <c r="B9" s="5" t="s">
        <v>92</v>
      </c>
      <c r="C9" s="24"/>
      <c r="D9" s="119"/>
      <c r="E9" s="24"/>
      <c r="F9" s="119"/>
      <c r="G9" s="24"/>
      <c r="H9" s="119"/>
    </row>
    <row r="10" spans="2:8" outlineLevel="1">
      <c r="B10" s="10" t="s">
        <v>214</v>
      </c>
      <c r="C10" s="27">
        <v>0</v>
      </c>
      <c r="D10" s="94"/>
      <c r="E10" s="27">
        <v>0</v>
      </c>
      <c r="F10" s="94"/>
      <c r="G10" s="27">
        <v>0</v>
      </c>
      <c r="H10" s="94"/>
    </row>
    <row r="11" spans="2:8" outlineLevel="1">
      <c r="B11" s="10" t="s">
        <v>215</v>
      </c>
      <c r="C11" s="27">
        <v>0</v>
      </c>
      <c r="D11" s="94"/>
      <c r="E11" s="27">
        <v>0</v>
      </c>
      <c r="F11" s="94"/>
      <c r="G11" s="27">
        <v>0</v>
      </c>
      <c r="H11" s="94"/>
    </row>
    <row r="12" spans="2:8" ht="22.5" outlineLevel="1">
      <c r="B12" s="10" t="s">
        <v>216</v>
      </c>
      <c r="C12" s="27">
        <v>4011.3154172560116</v>
      </c>
      <c r="D12" s="120">
        <f>C12/C37</f>
        <v>4.1856633944401819E-4</v>
      </c>
      <c r="E12" s="27">
        <v>25585.527638190957</v>
      </c>
      <c r="F12" s="120">
        <f>E12/E37</f>
        <v>3.445176618757055E-3</v>
      </c>
      <c r="G12" s="27">
        <v>19983.514274225974</v>
      </c>
      <c r="H12" s="120">
        <f>G12/G37</f>
        <v>3.8357812657676847E-3</v>
      </c>
    </row>
    <row r="13" spans="2:8" outlineLevel="1">
      <c r="B13" s="10" t="s">
        <v>217</v>
      </c>
      <c r="C13" s="27">
        <v>0</v>
      </c>
      <c r="D13" s="94"/>
      <c r="E13" s="27">
        <v>0</v>
      </c>
      <c r="F13" s="94"/>
      <c r="G13" s="27">
        <v>0</v>
      </c>
      <c r="H13" s="94"/>
    </row>
    <row r="14" spans="2:8" outlineLevel="1">
      <c r="B14" s="10" t="s">
        <v>218</v>
      </c>
      <c r="C14" s="27">
        <v>0</v>
      </c>
      <c r="D14" s="94"/>
      <c r="E14" s="27">
        <v>0</v>
      </c>
      <c r="F14" s="94"/>
      <c r="G14" s="27">
        <v>0</v>
      </c>
      <c r="H14" s="94"/>
    </row>
    <row r="15" spans="2:8" outlineLevel="1">
      <c r="B15" s="10" t="s">
        <v>219</v>
      </c>
      <c r="C15" s="27">
        <v>0</v>
      </c>
      <c r="D15" s="94"/>
      <c r="E15" s="27">
        <v>0</v>
      </c>
      <c r="F15" s="94"/>
      <c r="G15" s="27">
        <v>0</v>
      </c>
      <c r="H15" s="94"/>
    </row>
    <row r="16" spans="2:8">
      <c r="B16" s="77" t="s">
        <v>220</v>
      </c>
      <c r="C16" s="82">
        <f>SUM(C10:C15)</f>
        <v>4011.3154172560116</v>
      </c>
      <c r="D16" s="121">
        <f>C16/C66</f>
        <v>1.9013008596663076E-4</v>
      </c>
      <c r="E16" s="82">
        <f>SUM(E10:E15)</f>
        <v>25585.527638190957</v>
      </c>
      <c r="F16" s="121">
        <f>E16/E66</f>
        <v>1.3602633008435573E-3</v>
      </c>
      <c r="G16" s="82">
        <f>SUM(G10:G15)</f>
        <v>19983.514274225974</v>
      </c>
      <c r="H16" s="121">
        <f>G16/G66</f>
        <v>1.2980412920205577E-3</v>
      </c>
    </row>
    <row r="17" spans="2:9">
      <c r="B17" s="5" t="s">
        <v>100</v>
      </c>
      <c r="C17" s="27">
        <v>0</v>
      </c>
      <c r="D17" s="94"/>
      <c r="E17" s="27">
        <v>0</v>
      </c>
      <c r="F17" s="94"/>
      <c r="G17" s="27">
        <v>0</v>
      </c>
      <c r="H17" s="94"/>
    </row>
    <row r="18" spans="2:9">
      <c r="B18" s="10" t="s">
        <v>221</v>
      </c>
      <c r="C18" s="27">
        <v>1523198.8280460699</v>
      </c>
      <c r="D18" s="94">
        <f>$C18/$C$66</f>
        <v>7.2197245540660801E-2</v>
      </c>
      <c r="E18" s="27">
        <v>1452865.5276381911</v>
      </c>
      <c r="F18" s="94">
        <f>$E18/$E$66</f>
        <v>7.7242091163951337E-2</v>
      </c>
      <c r="G18" s="27">
        <v>1370667.6718938479</v>
      </c>
      <c r="H18" s="94">
        <f>$G18/$G$66</f>
        <v>8.9032550098088969E-2</v>
      </c>
    </row>
    <row r="19" spans="2:9">
      <c r="B19" s="10" t="s">
        <v>222</v>
      </c>
      <c r="C19" s="27">
        <v>7850724.7928874521</v>
      </c>
      <c r="D19" s="94">
        <f>$C19/$C$66</f>
        <v>0.37211209404049356</v>
      </c>
      <c r="E19" s="27">
        <v>5860386.3316582916</v>
      </c>
      <c r="F19" s="94">
        <f t="shared" ref="F19:F63" si="0">$E19/$E$66</f>
        <v>0.31156943755269051</v>
      </c>
      <c r="G19" s="27">
        <v>3554067.9533574586</v>
      </c>
      <c r="H19" s="94">
        <f t="shared" ref="H19:H63" si="1">$G19/$G$66</f>
        <v>0.23085663986814769</v>
      </c>
      <c r="I19" s="117"/>
    </row>
    <row r="20" spans="2:9" outlineLevel="1">
      <c r="B20" s="10" t="s">
        <v>223</v>
      </c>
      <c r="C20" s="27">
        <v>76867.447969286732</v>
      </c>
      <c r="D20" s="94">
        <f t="shared" ref="D20:D63" si="2">$C20/$C$66</f>
        <v>3.643396983335068E-3</v>
      </c>
      <c r="E20" s="27">
        <v>77261.708542713575</v>
      </c>
      <c r="F20" s="94">
        <f t="shared" si="0"/>
        <v>4.1076450787846776E-3</v>
      </c>
      <c r="G20" s="27">
        <v>154964.817048653</v>
      </c>
      <c r="H20" s="94">
        <f t="shared" si="1"/>
        <v>1.006583369567784E-2</v>
      </c>
    </row>
    <row r="21" spans="2:9" outlineLevel="1">
      <c r="B21" s="10" t="s">
        <v>224</v>
      </c>
      <c r="C21" s="27">
        <v>0</v>
      </c>
      <c r="D21" s="94"/>
      <c r="E21" s="27">
        <v>0</v>
      </c>
      <c r="F21" s="94"/>
      <c r="G21" s="27">
        <v>0</v>
      </c>
      <c r="H21" s="94"/>
    </row>
    <row r="22" spans="2:9" outlineLevel="1">
      <c r="B22" s="10" t="s">
        <v>225</v>
      </c>
      <c r="C22" s="27">
        <v>4992.5237421701358</v>
      </c>
      <c r="D22" s="94">
        <f t="shared" si="2"/>
        <v>2.3663782813134759E-4</v>
      </c>
      <c r="E22" s="27">
        <v>0</v>
      </c>
      <c r="F22" s="94"/>
      <c r="G22" s="27">
        <v>0</v>
      </c>
      <c r="H22" s="94"/>
    </row>
    <row r="23" spans="2:9" outlineLevel="1">
      <c r="B23" s="10" t="s">
        <v>226</v>
      </c>
      <c r="C23" s="27">
        <v>0</v>
      </c>
      <c r="D23" s="94"/>
      <c r="E23" s="27">
        <v>0</v>
      </c>
      <c r="F23" s="94"/>
      <c r="G23" s="27">
        <v>0</v>
      </c>
      <c r="H23" s="94"/>
    </row>
    <row r="24" spans="2:9" outlineLevel="1">
      <c r="B24" s="10" t="s">
        <v>227</v>
      </c>
      <c r="C24" s="27">
        <v>0</v>
      </c>
      <c r="D24" s="94"/>
      <c r="E24" s="27">
        <v>0</v>
      </c>
      <c r="F24" s="94"/>
      <c r="G24" s="27">
        <v>0</v>
      </c>
      <c r="H24" s="94"/>
    </row>
    <row r="25" spans="2:9" outlineLevel="1">
      <c r="B25" s="10" t="s">
        <v>228</v>
      </c>
      <c r="C25" s="27">
        <v>0</v>
      </c>
      <c r="D25" s="94"/>
      <c r="E25" s="27">
        <v>0</v>
      </c>
      <c r="F25" s="94"/>
      <c r="G25" s="27">
        <v>0</v>
      </c>
      <c r="H25" s="94"/>
    </row>
    <row r="26" spans="2:9" outlineLevel="1">
      <c r="B26" s="10" t="s">
        <v>229</v>
      </c>
      <c r="C26" s="27">
        <v>120859.56758941201</v>
      </c>
      <c r="D26" s="94">
        <f t="shared" si="2"/>
        <v>5.7285547471068263E-3</v>
      </c>
      <c r="E26" s="27">
        <v>0</v>
      </c>
      <c r="F26" s="94"/>
      <c r="G26" s="27">
        <v>100002.01045436268</v>
      </c>
      <c r="H26" s="94">
        <f t="shared" si="1"/>
        <v>6.4956912519763535E-3</v>
      </c>
    </row>
    <row r="27" spans="2:9">
      <c r="B27" s="77" t="s">
        <v>220</v>
      </c>
      <c r="C27" s="82">
        <f>SUM(C18:C26)</f>
        <v>9576643.1602343917</v>
      </c>
      <c r="D27" s="121">
        <f>$C27/$C$66</f>
        <v>0.45391792913972762</v>
      </c>
      <c r="E27" s="82">
        <f>SUM(E18:E26)</f>
        <v>7390513.5678391969</v>
      </c>
      <c r="F27" s="121">
        <f t="shared" si="0"/>
        <v>0.39291917379542657</v>
      </c>
      <c r="G27" s="82">
        <f>SUM(G18:G26)</f>
        <v>5179702.4527543215</v>
      </c>
      <c r="H27" s="121">
        <f t="shared" si="1"/>
        <v>0.33645071491389084</v>
      </c>
      <c r="I27" s="102"/>
    </row>
    <row r="28" spans="2:9">
      <c r="B28" s="5" t="s">
        <v>111</v>
      </c>
      <c r="C28" s="27">
        <v>0</v>
      </c>
      <c r="D28" s="94"/>
      <c r="E28" s="27">
        <v>0</v>
      </c>
      <c r="F28" s="94"/>
      <c r="G28" s="27">
        <v>0</v>
      </c>
      <c r="H28" s="94"/>
    </row>
    <row r="29" spans="2:9" outlineLevel="1">
      <c r="B29" s="10" t="s">
        <v>230</v>
      </c>
      <c r="C29" s="27">
        <v>0</v>
      </c>
      <c r="D29" s="94"/>
      <c r="E29" s="27">
        <v>0</v>
      </c>
      <c r="F29" s="94"/>
      <c r="G29" s="27">
        <v>0</v>
      </c>
      <c r="H29" s="94"/>
    </row>
    <row r="30" spans="2:9" outlineLevel="1">
      <c r="B30" s="10" t="s">
        <v>231</v>
      </c>
      <c r="C30" s="27">
        <v>0</v>
      </c>
      <c r="D30" s="94"/>
      <c r="E30" s="27">
        <v>0</v>
      </c>
      <c r="F30" s="94"/>
      <c r="G30" s="27">
        <v>0</v>
      </c>
      <c r="H30" s="94"/>
    </row>
    <row r="31" spans="2:9" outlineLevel="1">
      <c r="B31" s="10" t="s">
        <v>232</v>
      </c>
      <c r="C31" s="27">
        <v>0</v>
      </c>
      <c r="D31" s="94"/>
      <c r="E31" s="27">
        <v>0</v>
      </c>
      <c r="F31" s="94"/>
      <c r="G31" s="27">
        <v>0</v>
      </c>
      <c r="H31" s="94"/>
    </row>
    <row r="32" spans="2:9" outlineLevel="1">
      <c r="B32" s="10" t="s">
        <v>233</v>
      </c>
      <c r="C32" s="27">
        <v>0</v>
      </c>
      <c r="D32" s="94"/>
      <c r="E32" s="27">
        <v>0</v>
      </c>
      <c r="F32" s="94"/>
      <c r="G32" s="27">
        <v>0</v>
      </c>
      <c r="H32" s="94"/>
    </row>
    <row r="33" spans="2:10" outlineLevel="1">
      <c r="B33" s="10" t="s">
        <v>234</v>
      </c>
      <c r="C33" s="27">
        <v>0</v>
      </c>
      <c r="D33" s="94"/>
      <c r="E33" s="27">
        <v>0</v>
      </c>
      <c r="F33" s="94"/>
      <c r="G33" s="27">
        <v>0</v>
      </c>
      <c r="H33" s="94"/>
    </row>
    <row r="34" spans="2:10" outlineLevel="1">
      <c r="B34" s="10" t="s">
        <v>235</v>
      </c>
      <c r="C34" s="27">
        <v>2809.4564558496668</v>
      </c>
      <c r="D34" s="94">
        <f t="shared" si="2"/>
        <v>1.3316384824098499E-4</v>
      </c>
      <c r="E34" s="27">
        <v>10378.693467336685</v>
      </c>
      <c r="F34" s="94">
        <f t="shared" si="0"/>
        <v>5.5178677703912582E-4</v>
      </c>
      <c r="G34" s="27">
        <v>10077.804583835947</v>
      </c>
      <c r="H34" s="94">
        <f t="shared" si="1"/>
        <v>6.5460991011000722E-4</v>
      </c>
    </row>
    <row r="35" spans="2:10">
      <c r="B35" s="77" t="s">
        <v>220</v>
      </c>
      <c r="C35" s="82">
        <f>SUM(C29:C34)</f>
        <v>2809.4564558496668</v>
      </c>
      <c r="D35" s="121">
        <f t="shared" si="2"/>
        <v>1.3316384824098499E-4</v>
      </c>
      <c r="E35" s="82">
        <f>SUM(E29:E34)</f>
        <v>10378.693467336685</v>
      </c>
      <c r="F35" s="121">
        <f t="shared" si="0"/>
        <v>5.5178677703912582E-4</v>
      </c>
      <c r="G35" s="82">
        <f>SUM(G29:G34)</f>
        <v>10077.804583835947</v>
      </c>
      <c r="H35" s="121">
        <f t="shared" si="1"/>
        <v>6.5460991011000722E-4</v>
      </c>
    </row>
    <row r="36" spans="2:10">
      <c r="B36" s="5"/>
      <c r="C36" s="29"/>
      <c r="D36" s="92"/>
      <c r="E36" s="29"/>
      <c r="F36" s="92"/>
      <c r="G36" s="29"/>
      <c r="H36" s="92"/>
    </row>
    <row r="37" spans="2:10">
      <c r="B37" s="77" t="s">
        <v>236</v>
      </c>
      <c r="C37" s="82">
        <f>SUM(C35,C27,C16)</f>
        <v>9583463.932107497</v>
      </c>
      <c r="D37" s="121">
        <f t="shared" si="2"/>
        <v>0.45424122307393522</v>
      </c>
      <c r="E37" s="82">
        <f>SUM(E35,E27,E16)</f>
        <v>7426477.7889447249</v>
      </c>
      <c r="F37" s="121">
        <f t="shared" si="0"/>
        <v>0.39483122387330927</v>
      </c>
      <c r="G37" s="82">
        <f>SUM(G35,G27,G16)</f>
        <v>5209763.7716123834</v>
      </c>
      <c r="H37" s="121">
        <f t="shared" si="1"/>
        <v>0.3384033661160214</v>
      </c>
      <c r="J37" s="102"/>
    </row>
    <row r="38" spans="2:10">
      <c r="B38" s="5"/>
      <c r="C38" s="27"/>
      <c r="D38" s="94"/>
      <c r="E38" s="27"/>
      <c r="F38" s="94"/>
      <c r="G38" s="27"/>
      <c r="H38" s="94"/>
    </row>
    <row r="39" spans="2:10">
      <c r="B39" s="5" t="s">
        <v>120</v>
      </c>
      <c r="C39" s="27">
        <v>0</v>
      </c>
      <c r="D39" s="94"/>
      <c r="E39" s="27">
        <v>0</v>
      </c>
      <c r="F39" s="94"/>
      <c r="G39" s="27">
        <v>0</v>
      </c>
      <c r="H39" s="94"/>
    </row>
    <row r="40" spans="2:10">
      <c r="B40" s="5" t="s">
        <v>121</v>
      </c>
      <c r="C40" s="27">
        <v>0</v>
      </c>
      <c r="D40" s="94"/>
      <c r="E40" s="27">
        <v>0</v>
      </c>
      <c r="F40" s="94"/>
      <c r="G40" s="27">
        <v>0</v>
      </c>
      <c r="H40" s="94"/>
    </row>
    <row r="41" spans="2:10" outlineLevel="1">
      <c r="B41" s="28" t="s">
        <v>237</v>
      </c>
      <c r="C41" s="27">
        <v>144370.78197615681</v>
      </c>
      <c r="D41" s="94">
        <f t="shared" si="2"/>
        <v>6.8429495895821063E-3</v>
      </c>
      <c r="E41" s="27">
        <v>133187.53768844221</v>
      </c>
      <c r="F41" s="94">
        <f t="shared" si="0"/>
        <v>7.080960854482338E-3</v>
      </c>
      <c r="G41" s="27">
        <v>141271.21029352632</v>
      </c>
      <c r="H41" s="94">
        <f t="shared" si="1"/>
        <v>9.1763571621248062E-3</v>
      </c>
    </row>
    <row r="42" spans="2:10" outlineLevel="1">
      <c r="B42" s="28" t="s">
        <v>238</v>
      </c>
      <c r="C42" s="27">
        <v>0</v>
      </c>
      <c r="D42" s="94"/>
      <c r="E42" s="27">
        <v>0</v>
      </c>
      <c r="F42" s="94"/>
      <c r="G42" s="27">
        <v>0</v>
      </c>
      <c r="H42" s="94"/>
    </row>
    <row r="43" spans="2:10" outlineLevel="1">
      <c r="B43" s="28" t="s">
        <v>239</v>
      </c>
      <c r="C43" s="27">
        <v>0</v>
      </c>
      <c r="D43" s="94"/>
      <c r="E43" s="27">
        <v>0</v>
      </c>
      <c r="F43" s="94"/>
      <c r="G43" s="27">
        <v>0</v>
      </c>
      <c r="H43" s="94"/>
    </row>
    <row r="44" spans="2:10" outlineLevel="1">
      <c r="B44" s="15" t="s">
        <v>240</v>
      </c>
      <c r="C44" s="27">
        <v>0</v>
      </c>
      <c r="D44" s="94"/>
      <c r="E44" s="27">
        <v>0</v>
      </c>
      <c r="F44" s="94"/>
      <c r="G44" s="27">
        <v>0</v>
      </c>
      <c r="H44" s="94"/>
    </row>
    <row r="45" spans="2:10">
      <c r="B45" s="77" t="s">
        <v>220</v>
      </c>
      <c r="C45" s="82">
        <f>SUM(C41:C44)</f>
        <v>144370.78197615681</v>
      </c>
      <c r="D45" s="121">
        <f t="shared" si="2"/>
        <v>6.8429495895821063E-3</v>
      </c>
      <c r="E45" s="82">
        <f>SUM(E41:E44)</f>
        <v>133187.53768844221</v>
      </c>
      <c r="F45" s="121">
        <f t="shared" si="0"/>
        <v>7.080960854482338E-3</v>
      </c>
      <c r="G45" s="82">
        <f>SUM(G41:G44)</f>
        <v>141271.21029352632</v>
      </c>
      <c r="H45" s="121">
        <f t="shared" si="1"/>
        <v>9.1763571621248062E-3</v>
      </c>
    </row>
    <row r="46" spans="2:10">
      <c r="B46" s="5" t="s">
        <v>127</v>
      </c>
      <c r="C46" s="27">
        <v>0</v>
      </c>
      <c r="D46" s="94"/>
      <c r="E46" s="27">
        <v>0</v>
      </c>
      <c r="F46" s="94"/>
      <c r="G46" s="27">
        <v>0</v>
      </c>
      <c r="H46" s="94"/>
    </row>
    <row r="47" spans="2:10">
      <c r="B47" s="28" t="s">
        <v>241</v>
      </c>
      <c r="C47" s="27">
        <v>6410442.7157001421</v>
      </c>
      <c r="D47" s="94">
        <f t="shared" si="2"/>
        <v>0.30384497299241975</v>
      </c>
      <c r="E47" s="27">
        <v>5777055.6783919604</v>
      </c>
      <c r="F47" s="94">
        <f t="shared" si="0"/>
        <v>0.30713913495833195</v>
      </c>
      <c r="G47" s="27">
        <v>5051499.1958182547</v>
      </c>
      <c r="H47" s="94">
        <f t="shared" si="1"/>
        <v>0.32812319458934164</v>
      </c>
      <c r="I47" s="117"/>
    </row>
    <row r="48" spans="2:10">
      <c r="B48" s="10" t="s">
        <v>242</v>
      </c>
      <c r="C48" s="27">
        <v>508999.7979389776</v>
      </c>
      <c r="D48" s="94">
        <f t="shared" si="2"/>
        <v>2.4125795474177991E-2</v>
      </c>
      <c r="E48" s="27">
        <v>3977135.2763819098</v>
      </c>
      <c r="F48" s="94">
        <f t="shared" si="0"/>
        <v>0.21144575306226224</v>
      </c>
      <c r="G48" s="27">
        <v>1379248.6932046642</v>
      </c>
      <c r="H48" s="94">
        <f t="shared" si="1"/>
        <v>8.9589935542725901E-2</v>
      </c>
      <c r="I48" s="117"/>
    </row>
    <row r="49" spans="2:13" outlineLevel="1">
      <c r="B49" s="10" t="s">
        <v>243</v>
      </c>
      <c r="C49" s="27">
        <v>0</v>
      </c>
      <c r="D49" s="94"/>
      <c r="E49" s="27">
        <v>0</v>
      </c>
      <c r="F49" s="94"/>
      <c r="G49" s="27">
        <v>0</v>
      </c>
      <c r="H49" s="94"/>
    </row>
    <row r="50" spans="2:13">
      <c r="B50" s="28" t="s">
        <v>244</v>
      </c>
      <c r="C50" s="27">
        <v>982636.69428167306</v>
      </c>
      <c r="D50" s="94">
        <f t="shared" si="2"/>
        <v>4.6575444641933153E-2</v>
      </c>
      <c r="E50" s="27">
        <v>234281.60804020101</v>
      </c>
      <c r="F50" s="94">
        <f t="shared" si="0"/>
        <v>1.2455661575022854E-2</v>
      </c>
      <c r="G50" s="27">
        <v>322052.87494973862</v>
      </c>
      <c r="H50" s="94">
        <f t="shared" si="1"/>
        <v>2.0919139855088666E-2</v>
      </c>
    </row>
    <row r="51" spans="2:13" outlineLevel="1">
      <c r="B51" s="15" t="s">
        <v>245</v>
      </c>
      <c r="C51" s="27">
        <v>0</v>
      </c>
      <c r="D51" s="94"/>
      <c r="E51" s="27">
        <v>0</v>
      </c>
      <c r="F51" s="94"/>
      <c r="G51" s="27">
        <v>0</v>
      </c>
      <c r="H51" s="94"/>
    </row>
    <row r="52" spans="2:13" outlineLevel="1">
      <c r="B52" s="15" t="s">
        <v>246</v>
      </c>
      <c r="C52" s="27">
        <v>0</v>
      </c>
      <c r="D52" s="94"/>
      <c r="E52" s="27">
        <v>0</v>
      </c>
      <c r="F52" s="94"/>
      <c r="G52" s="27">
        <v>0</v>
      </c>
      <c r="H52" s="94"/>
    </row>
    <row r="53" spans="2:13">
      <c r="B53" s="77" t="s">
        <v>220</v>
      </c>
      <c r="C53" s="82">
        <f>SUM(C47:C52)</f>
        <v>7902079.2079207925</v>
      </c>
      <c r="D53" s="121">
        <f t="shared" si="2"/>
        <v>0.37454621310853092</v>
      </c>
      <c r="E53" s="82">
        <f>SUM(E47:E52)</f>
        <v>9988472.5628140699</v>
      </c>
      <c r="F53" s="121">
        <f t="shared" si="0"/>
        <v>0.53104054959561697</v>
      </c>
      <c r="G53" s="82">
        <f>SUM(G47:G52)</f>
        <v>6752800.7639726568</v>
      </c>
      <c r="H53" s="121">
        <f t="shared" si="1"/>
        <v>0.43863226998715615</v>
      </c>
    </row>
    <row r="54" spans="2:13">
      <c r="B54" s="5" t="s">
        <v>135</v>
      </c>
      <c r="C54" s="27">
        <v>0</v>
      </c>
      <c r="D54" s="94"/>
      <c r="E54" s="27">
        <v>0</v>
      </c>
      <c r="F54" s="94"/>
      <c r="G54" s="27">
        <v>0</v>
      </c>
      <c r="H54" s="94"/>
    </row>
    <row r="55" spans="2:13" outlineLevel="1">
      <c r="B55" s="10" t="s">
        <v>247</v>
      </c>
      <c r="C55" s="27">
        <v>0</v>
      </c>
      <c r="D55" s="94"/>
      <c r="E55" s="27">
        <v>0</v>
      </c>
      <c r="F55" s="94"/>
      <c r="G55" s="27">
        <v>0</v>
      </c>
      <c r="H55" s="94"/>
    </row>
    <row r="56" spans="2:13" outlineLevel="1">
      <c r="B56" s="28" t="s">
        <v>248</v>
      </c>
      <c r="C56" s="27">
        <v>0</v>
      </c>
      <c r="D56" s="94"/>
      <c r="E56" s="27">
        <v>0</v>
      </c>
      <c r="F56" s="94"/>
      <c r="G56" s="27">
        <v>0</v>
      </c>
      <c r="H56" s="94"/>
    </row>
    <row r="57" spans="2:13">
      <c r="B57" s="5" t="s">
        <v>220</v>
      </c>
      <c r="C57" s="27">
        <v>0</v>
      </c>
      <c r="D57" s="94"/>
      <c r="E57" s="27">
        <v>0</v>
      </c>
      <c r="F57" s="94"/>
      <c r="G57" s="27">
        <v>0</v>
      </c>
      <c r="H57" s="94"/>
    </row>
    <row r="58" spans="2:13">
      <c r="B58" s="5" t="s">
        <v>249</v>
      </c>
      <c r="C58" s="29">
        <v>3309318.044049303</v>
      </c>
      <c r="D58" s="92">
        <f t="shared" si="2"/>
        <v>0.15685650684543495</v>
      </c>
      <c r="E58" s="29">
        <v>1087263.7185929648</v>
      </c>
      <c r="F58" s="92">
        <f t="shared" si="0"/>
        <v>5.7804746325930301E-2</v>
      </c>
      <c r="G58" s="29">
        <v>1272354.3003618817</v>
      </c>
      <c r="H58" s="92">
        <f t="shared" si="1"/>
        <v>8.2646545411673863E-2</v>
      </c>
      <c r="I58" s="117"/>
      <c r="J58" s="102">
        <f>G58*G5</f>
        <v>6328690.29</v>
      </c>
    </row>
    <row r="59" spans="2:13">
      <c r="B59" s="5"/>
      <c r="C59" s="29"/>
      <c r="D59" s="92"/>
      <c r="E59" s="29"/>
      <c r="F59" s="92"/>
      <c r="G59" s="29"/>
      <c r="H59" s="92"/>
    </row>
    <row r="60" spans="2:13">
      <c r="B60" s="77" t="s">
        <v>250</v>
      </c>
      <c r="C60" s="82">
        <f>SUM(C58,C53,C45)</f>
        <v>11355768.033946251</v>
      </c>
      <c r="D60" s="121">
        <f t="shared" si="2"/>
        <v>0.53824566954354791</v>
      </c>
      <c r="E60" s="82">
        <f>SUM(E58,E53,E45)</f>
        <v>11208923.819095476</v>
      </c>
      <c r="F60" s="121">
        <f t="shared" si="0"/>
        <v>0.59592625677602951</v>
      </c>
      <c r="G60" s="122">
        <v>9990197.2255729791</v>
      </c>
      <c r="H60" s="121">
        <f t="shared" si="1"/>
        <v>0.64891932100992888</v>
      </c>
      <c r="I60" s="123" t="s">
        <v>367</v>
      </c>
      <c r="J60" s="118"/>
      <c r="K60" s="118"/>
      <c r="L60" s="117"/>
      <c r="M60" s="117"/>
    </row>
    <row r="61" spans="2:13">
      <c r="B61" s="5"/>
      <c r="C61" s="29"/>
      <c r="D61" s="92"/>
      <c r="E61" s="29"/>
      <c r="F61" s="92"/>
      <c r="G61" s="29"/>
      <c r="H61" s="92"/>
    </row>
    <row r="62" spans="2:13">
      <c r="B62" s="77" t="s">
        <v>251</v>
      </c>
      <c r="C62" s="82">
        <v>158509.59789856538</v>
      </c>
      <c r="D62" s="121">
        <f t="shared" si="2"/>
        <v>7.5131073825169762E-3</v>
      </c>
      <c r="E62" s="82">
        <v>173844.82412060304</v>
      </c>
      <c r="F62" s="121">
        <f t="shared" si="0"/>
        <v>9.2425193506612893E-3</v>
      </c>
      <c r="G62" s="82">
        <v>195168.87816646561</v>
      </c>
      <c r="H62" s="121">
        <f t="shared" si="1"/>
        <v>1.2677312874049747E-2</v>
      </c>
    </row>
    <row r="63" spans="2:13" outlineLevel="1">
      <c r="B63" s="10" t="s">
        <v>252</v>
      </c>
      <c r="C63" s="27">
        <v>158509.59789856538</v>
      </c>
      <c r="D63" s="94">
        <f t="shared" si="2"/>
        <v>7.5131073825169762E-3</v>
      </c>
      <c r="E63" s="27">
        <v>173844.82412060304</v>
      </c>
      <c r="F63" s="94">
        <f t="shared" si="0"/>
        <v>9.2425193506612893E-3</v>
      </c>
      <c r="G63" s="27">
        <v>0</v>
      </c>
      <c r="H63" s="94">
        <f t="shared" si="1"/>
        <v>0</v>
      </c>
    </row>
    <row r="64" spans="2:13" outlineLevel="1">
      <c r="B64" s="10" t="s">
        <v>253</v>
      </c>
      <c r="C64" s="27">
        <v>0</v>
      </c>
      <c r="D64" s="94"/>
      <c r="E64" s="27">
        <v>0</v>
      </c>
      <c r="F64" s="94"/>
      <c r="G64" s="27">
        <v>0</v>
      </c>
      <c r="H64" s="94"/>
    </row>
    <row r="65" spans="2:10">
      <c r="B65" s="10"/>
      <c r="C65" s="27"/>
      <c r="D65" s="94"/>
      <c r="E65" s="27"/>
      <c r="F65" s="94"/>
      <c r="G65" s="27"/>
      <c r="H65" s="94"/>
    </row>
    <row r="66" spans="2:10">
      <c r="B66" s="86" t="s">
        <v>207</v>
      </c>
      <c r="C66" s="87">
        <f>SUM(C62,C60,C37)</f>
        <v>21097741.563952312</v>
      </c>
      <c r="D66" s="97">
        <v>1</v>
      </c>
      <c r="E66" s="87">
        <f>SUM(E62,E60,E37)</f>
        <v>18809246.432160802</v>
      </c>
      <c r="F66" s="97">
        <v>1</v>
      </c>
      <c r="G66" s="87">
        <f>SUM(G62,G60,G37)</f>
        <v>15395129.875351828</v>
      </c>
      <c r="H66" s="97">
        <v>1</v>
      </c>
      <c r="I66" s="102"/>
    </row>
    <row r="67" spans="2:10">
      <c r="B67" s="63" t="s">
        <v>206</v>
      </c>
      <c r="C67" s="27"/>
      <c r="D67" s="94"/>
      <c r="E67" s="99">
        <f>E66/C66-1</f>
        <v>-0.10847109511008712</v>
      </c>
      <c r="F67" s="94"/>
      <c r="G67" s="99">
        <f>G66/E66-1</f>
        <v>-0.18151267086231493</v>
      </c>
      <c r="H67" s="94"/>
    </row>
    <row r="68" spans="2:10">
      <c r="B68" s="5" t="s">
        <v>144</v>
      </c>
      <c r="C68" s="29">
        <v>0</v>
      </c>
      <c r="D68" s="92"/>
      <c r="E68" s="29">
        <v>0</v>
      </c>
      <c r="F68" s="92"/>
      <c r="G68" s="29">
        <v>0</v>
      </c>
      <c r="H68" s="92"/>
    </row>
    <row r="69" spans="2:10" ht="22.5" outlineLevel="1">
      <c r="B69" s="28" t="s">
        <v>254</v>
      </c>
      <c r="C69" s="27">
        <v>0</v>
      </c>
      <c r="D69" s="94"/>
      <c r="E69" s="27">
        <v>0</v>
      </c>
      <c r="F69" s="94"/>
      <c r="G69" s="27">
        <v>0</v>
      </c>
      <c r="H69" s="94"/>
    </row>
    <row r="70" spans="2:10">
      <c r="B70" s="28" t="s">
        <v>255</v>
      </c>
      <c r="C70" s="27">
        <v>3183827.8440088909</v>
      </c>
      <c r="D70" s="94">
        <f>$C70/$C$143</f>
        <v>0.15090846879750777</v>
      </c>
      <c r="E70" s="27">
        <v>3054053.4673366835</v>
      </c>
      <c r="F70" s="94">
        <f>$E70/$E$143</f>
        <v>0.16236979220377465</v>
      </c>
      <c r="G70" s="27">
        <v>3063751.708886208</v>
      </c>
      <c r="H70" s="94">
        <f>$G70/$G$143</f>
        <v>0.19900785077437946</v>
      </c>
    </row>
    <row r="71" spans="2:10" outlineLevel="1">
      <c r="B71" s="28" t="s">
        <v>256</v>
      </c>
      <c r="C71" s="27">
        <v>11448.979591836734</v>
      </c>
      <c r="D71" s="94">
        <f t="shared" ref="D71:D134" si="3">$C71/$C$143</f>
        <v>5.4266375700845601E-4</v>
      </c>
      <c r="E71" s="27">
        <v>12302.914572864322</v>
      </c>
      <c r="F71" s="94">
        <f t="shared" ref="F71:F134" si="4">$E71/$E$143</f>
        <v>6.5408864123090024E-4</v>
      </c>
      <c r="G71" s="27">
        <v>9797.5472456775224</v>
      </c>
      <c r="H71" s="94">
        <f t="shared" ref="H71:H134" si="5">$G71/$G$143</f>
        <v>6.3640562470107878E-4</v>
      </c>
    </row>
    <row r="72" spans="2:10">
      <c r="B72" s="15" t="s">
        <v>257</v>
      </c>
      <c r="C72" s="27">
        <v>3341737.7247928875</v>
      </c>
      <c r="D72" s="94">
        <f t="shared" si="3"/>
        <v>0.15839315059710679</v>
      </c>
      <c r="E72" s="27">
        <v>3288470.5527638192</v>
      </c>
      <c r="F72" s="94">
        <f t="shared" si="4"/>
        <v>0.17483265634708353</v>
      </c>
      <c r="G72" s="27">
        <v>2804518.8982710093</v>
      </c>
      <c r="H72" s="94">
        <f t="shared" si="5"/>
        <v>0.18216922630585583</v>
      </c>
    </row>
    <row r="73" spans="2:10" outlineLevel="1">
      <c r="B73" s="15" t="s">
        <v>258</v>
      </c>
      <c r="C73" s="27">
        <v>0</v>
      </c>
      <c r="D73" s="94">
        <f t="shared" si="3"/>
        <v>0</v>
      </c>
      <c r="E73" s="27">
        <v>0</v>
      </c>
      <c r="F73" s="94">
        <f t="shared" si="4"/>
        <v>0</v>
      </c>
      <c r="G73" s="27">
        <v>0</v>
      </c>
      <c r="H73" s="94"/>
    </row>
    <row r="74" spans="2:10" outlineLevel="1">
      <c r="B74" s="28" t="s">
        <v>259</v>
      </c>
      <c r="C74" s="27">
        <v>0</v>
      </c>
      <c r="D74" s="94">
        <f t="shared" si="3"/>
        <v>0</v>
      </c>
      <c r="E74" s="27">
        <v>0</v>
      </c>
      <c r="F74" s="94">
        <f t="shared" si="4"/>
        <v>0</v>
      </c>
      <c r="G74" s="27">
        <v>0</v>
      </c>
      <c r="H74" s="94"/>
    </row>
    <row r="75" spans="2:10" outlineLevel="1">
      <c r="B75" s="28" t="s">
        <v>260</v>
      </c>
      <c r="C75" s="27">
        <v>899709.03212770261</v>
      </c>
      <c r="D75" s="94">
        <f t="shared" si="3"/>
        <v>4.2644803379419206E-2</v>
      </c>
      <c r="E75" s="27">
        <v>0</v>
      </c>
      <c r="F75" s="94">
        <f t="shared" si="4"/>
        <v>0</v>
      </c>
      <c r="G75" s="27">
        <v>0</v>
      </c>
      <c r="H75" s="94"/>
    </row>
    <row r="76" spans="2:10">
      <c r="B76" s="28" t="s">
        <v>261</v>
      </c>
      <c r="C76" s="27">
        <v>868891.08910891088</v>
      </c>
      <c r="D76" s="94">
        <f t="shared" si="3"/>
        <v>4.1184080997332485E-2</v>
      </c>
      <c r="E76" s="27">
        <v>890634.77386934683</v>
      </c>
      <c r="F76" s="94">
        <f t="shared" si="4"/>
        <v>4.7350900928637668E-2</v>
      </c>
      <c r="G76" s="27">
        <v>849510.45436268591</v>
      </c>
      <c r="H76" s="94">
        <f t="shared" si="5"/>
        <v>5.5180466890557611E-2</v>
      </c>
    </row>
    <row r="77" spans="2:10" s="100" customFormat="1">
      <c r="B77" s="77" t="s">
        <v>220</v>
      </c>
      <c r="C77" s="82">
        <f>SUM(C69:C76)</f>
        <v>8305614.6696302276</v>
      </c>
      <c r="D77" s="121">
        <f t="shared" si="3"/>
        <v>0.39367316752837467</v>
      </c>
      <c r="E77" s="82">
        <f>SUM(E69:E76)</f>
        <v>7245461.7085427139</v>
      </c>
      <c r="F77" s="121">
        <f t="shared" si="4"/>
        <v>0.38520743812072672</v>
      </c>
      <c r="G77" s="82">
        <f>SUM(G69:G76)</f>
        <v>6727578.6087655807</v>
      </c>
      <c r="H77" s="121">
        <f t="shared" si="5"/>
        <v>0.43699394959549398</v>
      </c>
      <c r="I77" s="124"/>
    </row>
    <row r="78" spans="2:10" s="100" customFormat="1">
      <c r="B78" s="5"/>
      <c r="C78" s="29"/>
      <c r="D78" s="92"/>
      <c r="E78" s="29"/>
      <c r="F78" s="92"/>
      <c r="G78" s="29"/>
      <c r="H78" s="92"/>
    </row>
    <row r="79" spans="2:10" ht="22.5" outlineLevel="1">
      <c r="B79" s="5" t="s">
        <v>262</v>
      </c>
      <c r="C79" s="29">
        <v>3208662.9622145891</v>
      </c>
      <c r="D79" s="92">
        <f t="shared" si="3"/>
        <v>0.15208561462462258</v>
      </c>
      <c r="E79" s="29">
        <v>4137306.9346733671</v>
      </c>
      <c r="F79" s="92">
        <f t="shared" si="4"/>
        <v>0.21996133153882769</v>
      </c>
      <c r="G79" s="29">
        <v>3457787.4949738639</v>
      </c>
      <c r="H79" s="92">
        <f t="shared" si="5"/>
        <v>0.22460268428848459</v>
      </c>
      <c r="J79" s="102"/>
    </row>
    <row r="80" spans="2:10">
      <c r="B80" s="5"/>
      <c r="C80" s="29"/>
      <c r="D80" s="92"/>
      <c r="E80" s="29"/>
      <c r="F80" s="92"/>
      <c r="G80" s="29"/>
      <c r="H80" s="92"/>
    </row>
    <row r="81" spans="2:9" ht="22.5" outlineLevel="1">
      <c r="B81" s="5" t="s">
        <v>263</v>
      </c>
      <c r="C81" s="29">
        <v>12792126.894322086</v>
      </c>
      <c r="D81" s="92">
        <f t="shared" si="3"/>
        <v>0.6063268420489929</v>
      </c>
      <c r="E81" s="29">
        <v>11563784.723618092</v>
      </c>
      <c r="F81" s="92">
        <f t="shared" si="4"/>
        <v>0.61479255119277276</v>
      </c>
      <c r="G81" s="29">
        <v>8667551.2665862478</v>
      </c>
      <c r="H81" s="92">
        <f t="shared" si="5"/>
        <v>0.56300605040450602</v>
      </c>
    </row>
    <row r="82" spans="2:9">
      <c r="B82" s="5"/>
      <c r="C82" s="29"/>
      <c r="D82" s="92"/>
      <c r="E82" s="29"/>
      <c r="F82" s="92"/>
      <c r="G82" s="29"/>
      <c r="H82" s="92"/>
    </row>
    <row r="83" spans="2:9">
      <c r="B83" s="5" t="s">
        <v>156</v>
      </c>
      <c r="C83" s="29">
        <v>0</v>
      </c>
      <c r="D83" s="92"/>
      <c r="E83" s="29">
        <v>0</v>
      </c>
      <c r="F83" s="92"/>
      <c r="G83" s="29">
        <v>0</v>
      </c>
      <c r="H83" s="92"/>
    </row>
    <row r="84" spans="2:9" ht="22.5" outlineLevel="1">
      <c r="B84" s="28" t="s">
        <v>254</v>
      </c>
      <c r="C84" s="27">
        <v>0</v>
      </c>
      <c r="D84" s="94"/>
      <c r="E84" s="27">
        <v>0</v>
      </c>
      <c r="F84" s="94"/>
      <c r="G84" s="27">
        <v>0</v>
      </c>
      <c r="H84" s="94"/>
    </row>
    <row r="85" spans="2:9">
      <c r="B85" s="28" t="s">
        <v>255</v>
      </c>
      <c r="C85" s="27">
        <v>10841984.643362295</v>
      </c>
      <c r="D85" s="94">
        <f t="shared" si="3"/>
        <v>0.51389314417068344</v>
      </c>
      <c r="E85" s="27">
        <v>8609126.6331658289</v>
      </c>
      <c r="F85" s="94">
        <f t="shared" si="4"/>
        <v>0.45770714803566837</v>
      </c>
      <c r="G85" s="27">
        <v>5545072.577402493</v>
      </c>
      <c r="H85" s="94">
        <f t="shared" si="5"/>
        <v>0.36018355300011845</v>
      </c>
      <c r="I85" s="117"/>
    </row>
    <row r="86" spans="2:9" outlineLevel="1">
      <c r="B86" s="28" t="s">
        <v>256</v>
      </c>
      <c r="C86" s="27">
        <v>0</v>
      </c>
      <c r="D86" s="94"/>
      <c r="E86" s="27">
        <v>0</v>
      </c>
      <c r="F86" s="94"/>
      <c r="G86" s="27">
        <v>0</v>
      </c>
      <c r="H86" s="94"/>
    </row>
    <row r="87" spans="2:9" outlineLevel="1">
      <c r="B87" s="15" t="s">
        <v>257</v>
      </c>
      <c r="C87" s="27">
        <v>0</v>
      </c>
      <c r="D87" s="94"/>
      <c r="E87" s="27">
        <v>0</v>
      </c>
      <c r="F87" s="94"/>
      <c r="G87" s="27">
        <v>0</v>
      </c>
      <c r="H87" s="94"/>
    </row>
    <row r="88" spans="2:9" outlineLevel="1">
      <c r="B88" s="15" t="s">
        <v>258</v>
      </c>
      <c r="C88" s="27">
        <v>0</v>
      </c>
      <c r="D88" s="94"/>
      <c r="E88" s="27">
        <v>0</v>
      </c>
      <c r="F88" s="94"/>
      <c r="G88" s="27">
        <v>0</v>
      </c>
      <c r="H88" s="94"/>
    </row>
    <row r="89" spans="2:9" outlineLevel="1">
      <c r="B89" s="28" t="s">
        <v>259</v>
      </c>
      <c r="C89" s="27">
        <v>0</v>
      </c>
      <c r="D89" s="94"/>
      <c r="E89" s="27">
        <v>0</v>
      </c>
      <c r="F89" s="94"/>
      <c r="G89" s="27">
        <v>0</v>
      </c>
      <c r="H89" s="94"/>
    </row>
    <row r="90" spans="2:9" ht="19.5" customHeight="1" outlineLevel="1">
      <c r="B90" s="28" t="s">
        <v>260</v>
      </c>
      <c r="C90" s="27">
        <v>0</v>
      </c>
      <c r="D90" s="94"/>
      <c r="E90" s="27">
        <v>0</v>
      </c>
      <c r="F90" s="94"/>
      <c r="G90" s="27">
        <v>0</v>
      </c>
      <c r="H90" s="94"/>
    </row>
    <row r="91" spans="2:9">
      <c r="B91" s="28" t="s">
        <v>261</v>
      </c>
      <c r="C91" s="27">
        <v>342841.78621943831</v>
      </c>
      <c r="D91" s="94">
        <f t="shared" si="3"/>
        <v>1.6250165377356834E-2</v>
      </c>
      <c r="E91" s="27">
        <v>403857.48743718595</v>
      </c>
      <c r="F91" s="94">
        <f t="shared" si="4"/>
        <v>2.1471220794408379E-2</v>
      </c>
      <c r="G91" s="27">
        <v>211459.79091274628</v>
      </c>
      <c r="H91" s="94">
        <f t="shared" si="5"/>
        <v>1.3735498993827989E-2</v>
      </c>
    </row>
    <row r="92" spans="2:9">
      <c r="B92" s="77" t="s">
        <v>220</v>
      </c>
      <c r="C92" s="82">
        <f>SUM(C84:C91)</f>
        <v>11184826.429581733</v>
      </c>
      <c r="D92" s="121">
        <f t="shared" si="3"/>
        <v>0.53014330954804034</v>
      </c>
      <c r="E92" s="82">
        <f>SUM(E84:E91)</f>
        <v>9012984.1206030156</v>
      </c>
      <c r="F92" s="121">
        <f t="shared" si="4"/>
        <v>0.47917836883007681</v>
      </c>
      <c r="G92" s="82">
        <f>SUM(G84:G91)</f>
        <v>5756532.3683152394</v>
      </c>
      <c r="H92" s="121">
        <f t="shared" si="5"/>
        <v>0.37391905199394648</v>
      </c>
    </row>
    <row r="93" spans="2:9">
      <c r="B93" s="5"/>
      <c r="C93" s="27"/>
      <c r="D93" s="94"/>
      <c r="E93" s="27"/>
      <c r="F93" s="94"/>
      <c r="G93" s="27"/>
      <c r="H93" s="94"/>
    </row>
    <row r="94" spans="2:9">
      <c r="B94" s="5" t="s">
        <v>160</v>
      </c>
      <c r="C94" s="27">
        <v>0</v>
      </c>
      <c r="D94" s="94"/>
      <c r="E94" s="27">
        <v>0</v>
      </c>
      <c r="F94" s="94"/>
      <c r="G94" s="27">
        <v>0</v>
      </c>
      <c r="H94" s="94"/>
    </row>
    <row r="95" spans="2:9" outlineLevel="1">
      <c r="B95" s="15" t="s">
        <v>264</v>
      </c>
      <c r="C95" s="27">
        <v>0</v>
      </c>
      <c r="D95" s="94"/>
      <c r="E95" s="27">
        <v>0</v>
      </c>
      <c r="F95" s="94"/>
      <c r="G95" s="27">
        <v>0</v>
      </c>
      <c r="H95" s="94"/>
    </row>
    <row r="96" spans="2:9" outlineLevel="1">
      <c r="B96" s="15" t="s">
        <v>265</v>
      </c>
      <c r="C96" s="27">
        <v>0</v>
      </c>
      <c r="D96" s="94"/>
      <c r="E96" s="27">
        <v>0</v>
      </c>
      <c r="F96" s="94"/>
      <c r="G96" s="27">
        <v>0</v>
      </c>
      <c r="H96" s="94"/>
    </row>
    <row r="97" spans="2:8" outlineLevel="1">
      <c r="B97" s="15" t="s">
        <v>266</v>
      </c>
      <c r="C97" s="27">
        <v>0</v>
      </c>
      <c r="D97" s="94"/>
      <c r="E97" s="27">
        <v>0</v>
      </c>
      <c r="F97" s="94"/>
      <c r="G97" s="27">
        <v>0</v>
      </c>
      <c r="H97" s="94"/>
    </row>
    <row r="98" spans="2:8">
      <c r="B98" s="77" t="s">
        <v>267</v>
      </c>
      <c r="C98" s="82">
        <v>0</v>
      </c>
      <c r="D98" s="121"/>
      <c r="E98" s="82">
        <v>0</v>
      </c>
      <c r="F98" s="121"/>
      <c r="G98" s="82">
        <v>0</v>
      </c>
      <c r="H98" s="121"/>
    </row>
    <row r="99" spans="2:8">
      <c r="B99" s="5" t="s">
        <v>165</v>
      </c>
      <c r="C99" s="29">
        <v>0</v>
      </c>
      <c r="D99" s="92"/>
      <c r="E99" s="29">
        <v>0</v>
      </c>
      <c r="F99" s="92"/>
      <c r="G99" s="29">
        <v>0</v>
      </c>
      <c r="H99" s="92"/>
    </row>
    <row r="100" spans="2:8" outlineLevel="1">
      <c r="B100" s="10" t="s">
        <v>268</v>
      </c>
      <c r="C100" s="27">
        <v>0</v>
      </c>
      <c r="D100" s="94"/>
      <c r="E100" s="27">
        <v>0</v>
      </c>
      <c r="F100" s="94"/>
      <c r="G100" s="27">
        <v>0</v>
      </c>
      <c r="H100" s="94"/>
    </row>
    <row r="101" spans="2:8" outlineLevel="1">
      <c r="B101" s="15" t="s">
        <v>269</v>
      </c>
      <c r="C101" s="27">
        <v>0</v>
      </c>
      <c r="D101" s="94"/>
      <c r="E101" s="27">
        <v>0</v>
      </c>
      <c r="F101" s="94"/>
      <c r="G101" s="27">
        <v>0</v>
      </c>
      <c r="H101" s="94"/>
    </row>
    <row r="102" spans="2:8" outlineLevel="1">
      <c r="B102" s="15" t="s">
        <v>270</v>
      </c>
      <c r="C102" s="27">
        <v>0</v>
      </c>
      <c r="D102" s="94"/>
      <c r="E102" s="27">
        <v>0</v>
      </c>
      <c r="F102" s="94"/>
      <c r="G102" s="27">
        <v>0</v>
      </c>
      <c r="H102" s="94"/>
    </row>
    <row r="103" spans="2:8" outlineLevel="1">
      <c r="B103" s="10" t="s">
        <v>271</v>
      </c>
      <c r="C103" s="27">
        <v>0</v>
      </c>
      <c r="D103" s="94"/>
      <c r="E103" s="27">
        <v>0</v>
      </c>
      <c r="F103" s="94"/>
      <c r="G103" s="27">
        <v>0</v>
      </c>
      <c r="H103" s="94"/>
    </row>
    <row r="104" spans="2:8" outlineLevel="1">
      <c r="B104" s="15" t="s">
        <v>269</v>
      </c>
      <c r="C104" s="27">
        <v>0</v>
      </c>
      <c r="D104" s="94"/>
      <c r="E104" s="27">
        <v>0</v>
      </c>
      <c r="F104" s="94"/>
      <c r="G104" s="27">
        <v>0</v>
      </c>
      <c r="H104" s="94"/>
    </row>
    <row r="105" spans="2:8" outlineLevel="1">
      <c r="B105" s="15" t="s">
        <v>270</v>
      </c>
      <c r="C105" s="27">
        <v>0</v>
      </c>
      <c r="D105" s="94"/>
      <c r="E105" s="27">
        <v>0</v>
      </c>
      <c r="F105" s="94"/>
      <c r="G105" s="27">
        <v>0</v>
      </c>
      <c r="H105" s="94"/>
    </row>
    <row r="106" spans="2:8" outlineLevel="1">
      <c r="B106" s="10" t="s">
        <v>272</v>
      </c>
      <c r="C106" s="27">
        <v>0</v>
      </c>
      <c r="D106" s="94"/>
      <c r="E106" s="27">
        <v>0</v>
      </c>
      <c r="F106" s="94"/>
      <c r="G106" s="27">
        <v>0</v>
      </c>
      <c r="H106" s="94"/>
    </row>
    <row r="107" spans="2:8" outlineLevel="1">
      <c r="B107" s="15" t="s">
        <v>269</v>
      </c>
      <c r="C107" s="27">
        <v>0</v>
      </c>
      <c r="D107" s="94"/>
      <c r="E107" s="27">
        <v>0</v>
      </c>
      <c r="F107" s="94"/>
      <c r="G107" s="27">
        <v>0</v>
      </c>
      <c r="H107" s="94"/>
    </row>
    <row r="108" spans="2:8" outlineLevel="1">
      <c r="B108" s="15" t="s">
        <v>270</v>
      </c>
      <c r="C108" s="27">
        <v>0</v>
      </c>
      <c r="D108" s="94"/>
      <c r="E108" s="27">
        <v>0</v>
      </c>
      <c r="F108" s="94"/>
      <c r="G108" s="27">
        <v>0</v>
      </c>
      <c r="H108" s="94"/>
    </row>
    <row r="109" spans="2:8" outlineLevel="1">
      <c r="B109" s="15" t="s">
        <v>273</v>
      </c>
      <c r="C109" s="27">
        <v>0</v>
      </c>
      <c r="D109" s="94"/>
      <c r="E109" s="27">
        <v>0</v>
      </c>
      <c r="F109" s="94"/>
      <c r="G109" s="27">
        <v>0</v>
      </c>
      <c r="H109" s="94"/>
    </row>
    <row r="110" spans="2:8">
      <c r="B110" s="77" t="s">
        <v>220</v>
      </c>
      <c r="C110" s="82">
        <v>0</v>
      </c>
      <c r="D110" s="121"/>
      <c r="E110" s="82">
        <v>0</v>
      </c>
      <c r="F110" s="121"/>
      <c r="G110" s="82">
        <v>0</v>
      </c>
      <c r="H110" s="121"/>
    </row>
    <row r="111" spans="2:8">
      <c r="B111" s="5" t="s">
        <v>177</v>
      </c>
      <c r="C111" s="29">
        <v>0</v>
      </c>
      <c r="D111" s="92"/>
      <c r="E111" s="29">
        <v>0</v>
      </c>
      <c r="F111" s="92"/>
      <c r="G111" s="29">
        <v>0</v>
      </c>
      <c r="H111" s="92"/>
    </row>
    <row r="112" spans="2:8">
      <c r="B112" s="10" t="s">
        <v>274</v>
      </c>
      <c r="C112" s="27">
        <v>2020.610224287735</v>
      </c>
      <c r="D112" s="94">
        <f t="shared" si="3"/>
        <v>9.5773769790235969E-5</v>
      </c>
      <c r="E112" s="27">
        <v>2010.0502512562816</v>
      </c>
      <c r="F112" s="94">
        <f t="shared" si="4"/>
        <v>1.0686500583771468E-4</v>
      </c>
      <c r="G112" s="27">
        <v>2010.454362685967</v>
      </c>
      <c r="H112" s="94">
        <f t="shared" si="5"/>
        <v>1.3059028270393343E-4</v>
      </c>
    </row>
    <row r="113" spans="2:9" outlineLevel="1">
      <c r="B113" s="10" t="s">
        <v>275</v>
      </c>
      <c r="C113" s="27">
        <v>0</v>
      </c>
      <c r="D113" s="94"/>
      <c r="E113" s="27">
        <v>0</v>
      </c>
      <c r="F113" s="94"/>
      <c r="G113" s="27">
        <v>0</v>
      </c>
      <c r="H113" s="94"/>
    </row>
    <row r="114" spans="2:9" outlineLevel="1">
      <c r="B114" s="10" t="s">
        <v>276</v>
      </c>
      <c r="C114" s="27">
        <v>0</v>
      </c>
      <c r="D114" s="94"/>
      <c r="E114" s="27">
        <v>0</v>
      </c>
      <c r="F114" s="94"/>
      <c r="G114" s="27">
        <v>0</v>
      </c>
      <c r="H114" s="94"/>
    </row>
    <row r="115" spans="2:9" outlineLevel="1">
      <c r="B115" s="10" t="s">
        <v>277</v>
      </c>
      <c r="C115" s="27">
        <v>0</v>
      </c>
      <c r="D115" s="94"/>
      <c r="E115" s="27">
        <v>0</v>
      </c>
      <c r="F115" s="94"/>
      <c r="G115" s="27">
        <v>0</v>
      </c>
      <c r="H115" s="94"/>
    </row>
    <row r="116" spans="2:9" outlineLevel="1">
      <c r="B116" s="10" t="s">
        <v>278</v>
      </c>
      <c r="C116" s="27">
        <v>0</v>
      </c>
      <c r="D116" s="94"/>
      <c r="E116" s="27">
        <v>0</v>
      </c>
      <c r="F116" s="94"/>
      <c r="G116" s="27">
        <v>0</v>
      </c>
      <c r="H116" s="94"/>
    </row>
    <row r="117" spans="2:9">
      <c r="B117" s="77" t="s">
        <v>220</v>
      </c>
      <c r="C117" s="82">
        <f>SUM(C112:C116)</f>
        <v>2020.610224287735</v>
      </c>
      <c r="D117" s="121">
        <f t="shared" si="3"/>
        <v>9.5773769790235969E-5</v>
      </c>
      <c r="E117" s="82">
        <f>SUM(E112:E116)</f>
        <v>2010.0502512562816</v>
      </c>
      <c r="F117" s="121">
        <f t="shared" si="4"/>
        <v>1.0686500583771468E-4</v>
      </c>
      <c r="G117" s="82">
        <f>SUM(G112:G116)</f>
        <v>2010.454362685967</v>
      </c>
      <c r="H117" s="121">
        <f t="shared" si="5"/>
        <v>1.3059028270393343E-4</v>
      </c>
    </row>
    <row r="118" spans="2:9">
      <c r="B118" s="5"/>
      <c r="C118" s="27"/>
      <c r="D118" s="94"/>
      <c r="E118" s="27"/>
      <c r="F118" s="94"/>
      <c r="G118" s="27"/>
      <c r="H118" s="94"/>
    </row>
    <row r="119" spans="2:9">
      <c r="B119" s="5" t="s">
        <v>279</v>
      </c>
      <c r="C119" s="27">
        <v>0</v>
      </c>
      <c r="D119" s="94"/>
      <c r="E119" s="27">
        <v>0</v>
      </c>
      <c r="F119" s="94"/>
      <c r="G119" s="27">
        <v>0</v>
      </c>
      <c r="H119" s="94"/>
    </row>
    <row r="120" spans="2:9">
      <c r="B120" s="5" t="s">
        <v>280</v>
      </c>
      <c r="C120" s="27">
        <v>15232.572236815518</v>
      </c>
      <c r="D120" s="94">
        <f t="shared" si="3"/>
        <v>7.2200014094067286E-4</v>
      </c>
      <c r="E120" s="27">
        <v>15152.964824120603</v>
      </c>
      <c r="F120" s="94">
        <f t="shared" si="4"/>
        <v>8.0561253300819589E-4</v>
      </c>
      <c r="G120" s="27">
        <v>15156.011258544431</v>
      </c>
      <c r="H120" s="94">
        <f t="shared" si="5"/>
        <v>9.8446790519187257E-4</v>
      </c>
    </row>
    <row r="121" spans="2:9">
      <c r="B121" s="5" t="s">
        <v>186</v>
      </c>
      <c r="C121" s="27"/>
      <c r="D121" s="94"/>
      <c r="E121" s="27"/>
      <c r="F121" s="94"/>
      <c r="G121" s="27"/>
      <c r="H121" s="94"/>
    </row>
    <row r="122" spans="2:9" outlineLevel="1">
      <c r="B122" s="15" t="s">
        <v>281</v>
      </c>
      <c r="C122" s="27">
        <v>404.122044857547</v>
      </c>
      <c r="D122" s="94">
        <f t="shared" si="3"/>
        <v>1.9154753958047192E-5</v>
      </c>
      <c r="E122" s="27">
        <v>402.0100502512563</v>
      </c>
      <c r="F122" s="94">
        <f t="shared" si="4"/>
        <v>2.1373001167542937E-5</v>
      </c>
      <c r="G122" s="27">
        <v>402.09087253719338</v>
      </c>
      <c r="H122" s="94">
        <f t="shared" si="5"/>
        <v>2.6118056540786687E-5</v>
      </c>
    </row>
    <row r="123" spans="2:9" outlineLevel="1">
      <c r="B123" s="15" t="s">
        <v>282</v>
      </c>
      <c r="C123" s="27">
        <v>0</v>
      </c>
      <c r="D123" s="94"/>
      <c r="E123" s="27">
        <v>0</v>
      </c>
      <c r="F123" s="94"/>
      <c r="G123" s="27">
        <v>0</v>
      </c>
      <c r="H123" s="94"/>
    </row>
    <row r="124" spans="2:9" outlineLevel="1">
      <c r="B124" s="15" t="s">
        <v>283</v>
      </c>
      <c r="C124" s="27">
        <v>24014.548393614874</v>
      </c>
      <c r="D124" s="94">
        <f t="shared" si="3"/>
        <v>1.1382520992029965E-3</v>
      </c>
      <c r="E124" s="27">
        <v>23889.045226130656</v>
      </c>
      <c r="F124" s="94">
        <f t="shared" si="4"/>
        <v>1.2700692213800716E-3</v>
      </c>
      <c r="G124" s="27">
        <v>23893.848009650181</v>
      </c>
      <c r="H124" s="94">
        <f t="shared" si="5"/>
        <v>1.5520393918797082E-3</v>
      </c>
    </row>
    <row r="125" spans="2:9">
      <c r="B125" s="77" t="s">
        <v>220</v>
      </c>
      <c r="C125" s="82">
        <f>SUM(C122:C124)</f>
        <v>24418.670438472422</v>
      </c>
      <c r="D125" s="121">
        <f t="shared" si="3"/>
        <v>1.1574068531610437E-3</v>
      </c>
      <c r="E125" s="82">
        <f>SUM(E122:E124)</f>
        <v>24291.055276381914</v>
      </c>
      <c r="F125" s="121">
        <f t="shared" si="4"/>
        <v>1.2914422225476145E-3</v>
      </c>
      <c r="G125" s="82">
        <f>SUM(G122:G124)</f>
        <v>24295.938882187373</v>
      </c>
      <c r="H125" s="121">
        <f t="shared" si="5"/>
        <v>1.5781574484204947E-3</v>
      </c>
      <c r="I125" s="102"/>
    </row>
    <row r="126" spans="2:9">
      <c r="B126" s="5"/>
      <c r="C126" s="27"/>
      <c r="D126" s="94"/>
      <c r="E126" s="27"/>
      <c r="F126" s="94"/>
      <c r="G126" s="27"/>
      <c r="H126" s="94"/>
    </row>
    <row r="127" spans="2:9">
      <c r="B127" s="15" t="s">
        <v>284</v>
      </c>
      <c r="C127" s="27">
        <v>0</v>
      </c>
      <c r="D127" s="94"/>
      <c r="E127" s="27">
        <v>0</v>
      </c>
      <c r="F127" s="94"/>
      <c r="G127" s="27">
        <v>0</v>
      </c>
      <c r="H127" s="94"/>
    </row>
    <row r="128" spans="2:9">
      <c r="B128" s="15" t="s">
        <v>285</v>
      </c>
      <c r="C128" s="27">
        <v>0</v>
      </c>
      <c r="D128" s="94"/>
      <c r="E128" s="27">
        <v>0</v>
      </c>
      <c r="F128" s="94"/>
      <c r="G128" s="27">
        <v>0</v>
      </c>
      <c r="H128" s="94"/>
    </row>
    <row r="129" spans="2:9">
      <c r="B129" s="15" t="s">
        <v>286</v>
      </c>
      <c r="C129" s="27">
        <v>409508.78965447564</v>
      </c>
      <c r="D129" s="94">
        <f t="shared" si="3"/>
        <v>1.9410077250930982E-2</v>
      </c>
      <c r="E129" s="27">
        <v>0</v>
      </c>
      <c r="F129" s="94"/>
      <c r="G129" s="27">
        <v>0</v>
      </c>
      <c r="H129" s="94"/>
    </row>
    <row r="130" spans="2:9">
      <c r="B130" s="32" t="s">
        <v>287</v>
      </c>
      <c r="C130" s="27">
        <v>0</v>
      </c>
      <c r="D130" s="94"/>
      <c r="E130" s="27">
        <v>0</v>
      </c>
      <c r="F130" s="94"/>
      <c r="G130" s="27">
        <v>0</v>
      </c>
      <c r="H130" s="94"/>
    </row>
    <row r="131" spans="2:9">
      <c r="B131" s="5" t="s">
        <v>195</v>
      </c>
      <c r="C131" s="27">
        <v>0</v>
      </c>
      <c r="D131" s="94"/>
      <c r="E131" s="27">
        <v>1218147.3366834172</v>
      </c>
      <c r="F131" s="94">
        <f t="shared" si="4"/>
        <v>6.4763217817320307E-2</v>
      </c>
      <c r="G131" s="27">
        <v>2509851.2263771612</v>
      </c>
      <c r="H131" s="94">
        <f t="shared" si="5"/>
        <v>0.1630289089275905</v>
      </c>
    </row>
    <row r="132" spans="2:9" outlineLevel="1">
      <c r="B132" s="5" t="s">
        <v>196</v>
      </c>
      <c r="C132" s="27">
        <v>0</v>
      </c>
      <c r="D132" s="94"/>
      <c r="E132" s="27">
        <v>0</v>
      </c>
      <c r="F132" s="94"/>
      <c r="G132" s="27">
        <v>0</v>
      </c>
      <c r="H132" s="94"/>
    </row>
    <row r="133" spans="2:9">
      <c r="B133" s="5" t="s">
        <v>288</v>
      </c>
      <c r="C133" s="27">
        <v>0</v>
      </c>
      <c r="D133" s="94"/>
      <c r="E133" s="27">
        <v>0</v>
      </c>
      <c r="F133" s="94"/>
      <c r="G133" s="27">
        <v>0</v>
      </c>
      <c r="H133" s="94"/>
    </row>
    <row r="134" spans="2:9">
      <c r="B134" s="5" t="s">
        <v>195</v>
      </c>
      <c r="C134" s="27">
        <v>1975137.1994344301</v>
      </c>
      <c r="D134" s="94">
        <f t="shared" si="3"/>
        <v>9.361841941062414E-2</v>
      </c>
      <c r="E134" s="27">
        <v>1291199.3969849248</v>
      </c>
      <c r="F134" s="94">
        <f t="shared" si="4"/>
        <v>6.8647055470482707E-2</v>
      </c>
      <c r="G134" s="27">
        <v>359705.26739043021</v>
      </c>
      <c r="H134" s="94">
        <f t="shared" si="5"/>
        <v>2.3364873846652739E-2</v>
      </c>
    </row>
    <row r="135" spans="2:9">
      <c r="B135" s="5" t="s">
        <v>196</v>
      </c>
      <c r="C135" s="27">
        <v>0</v>
      </c>
      <c r="D135" s="94"/>
      <c r="E135" s="27">
        <v>0</v>
      </c>
      <c r="F135" s="94"/>
      <c r="G135" s="27">
        <v>0</v>
      </c>
      <c r="H135" s="94"/>
    </row>
    <row r="136" spans="2:9" outlineLevel="1">
      <c r="B136" s="10" t="s">
        <v>289</v>
      </c>
      <c r="C136" s="27">
        <v>0</v>
      </c>
      <c r="D136" s="94"/>
      <c r="E136" s="27">
        <v>0</v>
      </c>
      <c r="F136" s="94"/>
      <c r="G136" s="27">
        <v>0</v>
      </c>
      <c r="H136" s="94"/>
    </row>
    <row r="137" spans="2:9" ht="22.5">
      <c r="B137" s="77" t="s">
        <v>290</v>
      </c>
      <c r="C137" s="82">
        <f>C117+C119+C120+C125-C127+C128-C129+C131-C132+C134-C135-C136</f>
        <v>1607300.2626795301</v>
      </c>
      <c r="D137" s="121">
        <f t="shared" ref="D137:D143" si="6">$C137/$C$143</f>
        <v>7.6183522923585115E-2</v>
      </c>
      <c r="E137" s="82">
        <f>E117+E119+E120+E125-E127+E128-E129+E131-E132+E134-E135-E136</f>
        <v>2550800.8040201007</v>
      </c>
      <c r="F137" s="121">
        <f t="shared" ref="F137:F143" si="7">$E137/$E$143</f>
        <v>0.13561419304919653</v>
      </c>
      <c r="G137" s="82">
        <f>G117+G119+G120+G125-G127+G128-G129+G131-G132+G134-G135-G136</f>
        <v>2911018.8982710093</v>
      </c>
      <c r="H137" s="121">
        <f t="shared" ref="H137:H143" si="8">$G137/$G$143</f>
        <v>0.18908699841055956</v>
      </c>
      <c r="I137" s="102"/>
    </row>
    <row r="138" spans="2:9" outlineLevel="1">
      <c r="B138" s="10" t="s">
        <v>291</v>
      </c>
      <c r="C138" s="27">
        <v>0</v>
      </c>
      <c r="D138" s="94"/>
      <c r="E138" s="27">
        <v>0</v>
      </c>
      <c r="F138" s="94"/>
      <c r="G138" s="27">
        <v>0</v>
      </c>
      <c r="H138" s="94"/>
    </row>
    <row r="139" spans="2:9" outlineLevel="1">
      <c r="B139" s="10" t="s">
        <v>292</v>
      </c>
      <c r="C139" s="27">
        <v>0</v>
      </c>
      <c r="D139" s="94"/>
      <c r="E139" s="27">
        <v>0</v>
      </c>
      <c r="F139" s="94"/>
      <c r="G139" s="27">
        <v>0</v>
      </c>
      <c r="H139" s="94"/>
    </row>
    <row r="140" spans="2:9" outlineLevel="1">
      <c r="B140" s="10"/>
      <c r="C140" s="27"/>
      <c r="D140" s="94"/>
      <c r="E140" s="27"/>
      <c r="F140" s="94"/>
      <c r="G140" s="27"/>
      <c r="H140" s="94"/>
    </row>
    <row r="141" spans="2:9">
      <c r="B141" s="77" t="s">
        <v>293</v>
      </c>
      <c r="C141" s="82">
        <f>SUM(C137:C140)</f>
        <v>1607300.2626795301</v>
      </c>
      <c r="D141" s="121">
        <f t="shared" si="6"/>
        <v>7.6183522923585115E-2</v>
      </c>
      <c r="E141" s="82">
        <f>SUM(E137:E140)</f>
        <v>2550800.8040201007</v>
      </c>
      <c r="F141" s="121">
        <f t="shared" si="7"/>
        <v>0.13561419304919653</v>
      </c>
      <c r="G141" s="82">
        <f>SUM(G137:G140)</f>
        <v>2911018.8982710093</v>
      </c>
      <c r="H141" s="121">
        <f t="shared" si="8"/>
        <v>0.18908699841055956</v>
      </c>
    </row>
    <row r="143" spans="2:9">
      <c r="B143" s="86" t="s">
        <v>208</v>
      </c>
      <c r="C143" s="87">
        <f>C77+C92+C137</f>
        <v>21097741.361891489</v>
      </c>
      <c r="D143" s="97">
        <f t="shared" si="6"/>
        <v>1</v>
      </c>
      <c r="E143" s="87">
        <f>E77+E92+E137</f>
        <v>18809246.633165829</v>
      </c>
      <c r="F143" s="97">
        <f t="shared" si="7"/>
        <v>1</v>
      </c>
      <c r="G143" s="87">
        <f>G77+G92+G137</f>
        <v>15395129.875351829</v>
      </c>
      <c r="H143" s="97">
        <f t="shared" si="8"/>
        <v>1</v>
      </c>
    </row>
    <row r="145" spans="2:9">
      <c r="B145" s="3" t="s">
        <v>209</v>
      </c>
      <c r="C145" s="65">
        <f>C143-C66</f>
        <v>-0.20206082239747047</v>
      </c>
      <c r="D145" s="65"/>
      <c r="E145" s="65">
        <f>E143-E66</f>
        <v>0.20100502669811249</v>
      </c>
      <c r="F145" s="65"/>
      <c r="G145" s="65">
        <f>G143-G66</f>
        <v>0</v>
      </c>
      <c r="H145" s="65"/>
      <c r="I145" s="102"/>
    </row>
  </sheetData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D19210-2222-446D-AFB6-88C17123B8AF}">
  <dimension ref="C1:G84"/>
  <sheetViews>
    <sheetView showGridLines="0" zoomScale="115" zoomScaleNormal="115" workbookViewId="0">
      <selection activeCell="I19" sqref="I19"/>
    </sheetView>
  </sheetViews>
  <sheetFormatPr defaultColWidth="11.42578125" defaultRowHeight="15"/>
  <cols>
    <col min="3" max="3" width="59.28515625" style="3" customWidth="1"/>
    <col min="4" max="4" width="4.7109375" style="3" customWidth="1"/>
    <col min="5" max="6" width="12.5703125" style="3" customWidth="1"/>
  </cols>
  <sheetData>
    <row r="1" spans="3:6">
      <c r="C1" s="1"/>
      <c r="D1" s="1"/>
      <c r="E1" s="1"/>
      <c r="F1" s="1"/>
    </row>
    <row r="2" spans="3:6">
      <c r="C2" s="129"/>
      <c r="E2" s="4" t="s">
        <v>204</v>
      </c>
      <c r="F2" s="4" t="s">
        <v>204</v>
      </c>
    </row>
    <row r="3" spans="3:6">
      <c r="C3" s="23" t="s">
        <v>369</v>
      </c>
      <c r="D3" s="130"/>
      <c r="E3" s="34">
        <v>45655</v>
      </c>
      <c r="F3" s="34">
        <v>45657</v>
      </c>
    </row>
    <row r="4" spans="3:6">
      <c r="C4" s="23" t="s">
        <v>370</v>
      </c>
      <c r="D4" s="130"/>
      <c r="E4" s="33">
        <v>4.9749999999999996</v>
      </c>
      <c r="F4" s="33">
        <v>4.9740000000000002</v>
      </c>
    </row>
    <row r="5" spans="3:6">
      <c r="C5" s="23"/>
      <c r="D5" s="130"/>
      <c r="E5" s="130"/>
      <c r="F5" s="130"/>
    </row>
    <row r="6" spans="3:6" ht="33.75">
      <c r="C6" s="7" t="s">
        <v>0</v>
      </c>
      <c r="D6" s="8" t="s">
        <v>371</v>
      </c>
      <c r="E6" s="8" t="s">
        <v>90</v>
      </c>
      <c r="F6" s="8" t="s">
        <v>203</v>
      </c>
    </row>
    <row r="7" spans="3:6">
      <c r="C7" s="5" t="s">
        <v>91</v>
      </c>
      <c r="D7" s="4"/>
      <c r="E7" s="24"/>
      <c r="F7" s="24"/>
    </row>
    <row r="8" spans="3:6">
      <c r="C8" s="5"/>
      <c r="D8" s="4"/>
      <c r="E8" s="24"/>
      <c r="F8" s="24"/>
    </row>
    <row r="9" spans="3:6">
      <c r="C9" s="5" t="s">
        <v>92</v>
      </c>
      <c r="D9" s="4"/>
      <c r="E9" s="24"/>
      <c r="F9" s="24"/>
    </row>
    <row r="10" spans="3:6">
      <c r="C10" s="10" t="s">
        <v>372</v>
      </c>
      <c r="D10" s="131">
        <v>1</v>
      </c>
      <c r="E10" s="25">
        <v>0</v>
      </c>
      <c r="F10" s="25">
        <v>0</v>
      </c>
    </row>
    <row r="11" spans="3:6">
      <c r="C11" s="10" t="s">
        <v>373</v>
      </c>
      <c r="D11" s="131">
        <v>2</v>
      </c>
      <c r="E11" s="25">
        <v>0</v>
      </c>
      <c r="F11" s="25">
        <v>0</v>
      </c>
    </row>
    <row r="12" spans="3:6" ht="22.5">
      <c r="C12" s="10" t="s">
        <v>374</v>
      </c>
      <c r="D12" s="131">
        <v>3</v>
      </c>
      <c r="E12" s="25">
        <v>127288</v>
      </c>
      <c r="F12" s="25">
        <v>99398</v>
      </c>
    </row>
    <row r="13" spans="3:6">
      <c r="C13" s="10" t="s">
        <v>375</v>
      </c>
      <c r="D13" s="131">
        <v>4</v>
      </c>
      <c r="E13" s="25">
        <v>0</v>
      </c>
      <c r="F13" s="25">
        <v>0</v>
      </c>
    </row>
    <row r="14" spans="3:6" ht="22.5">
      <c r="C14" s="10" t="s">
        <v>376</v>
      </c>
      <c r="D14" s="131">
        <v>5</v>
      </c>
      <c r="E14" s="25">
        <v>0</v>
      </c>
      <c r="F14" s="25">
        <v>0</v>
      </c>
    </row>
    <row r="15" spans="3:6">
      <c r="C15" s="10" t="s">
        <v>377</v>
      </c>
      <c r="D15" s="131">
        <v>6</v>
      </c>
      <c r="E15" s="25">
        <v>0</v>
      </c>
      <c r="F15" s="25">
        <v>0</v>
      </c>
    </row>
    <row r="16" spans="3:6" ht="15.75" thickBot="1">
      <c r="C16" s="5" t="s">
        <v>99</v>
      </c>
      <c r="D16" s="131">
        <v>7</v>
      </c>
      <c r="E16" s="26">
        <v>127288</v>
      </c>
      <c r="F16" s="26">
        <v>99398</v>
      </c>
    </row>
    <row r="17" spans="3:6">
      <c r="C17" s="5"/>
      <c r="D17" s="131"/>
      <c r="E17" s="27">
        <f>E16/E4</f>
        <v>25585.527638190957</v>
      </c>
      <c r="F17" s="27">
        <f>F16/F4</f>
        <v>19983.514274225974</v>
      </c>
    </row>
    <row r="18" spans="3:6">
      <c r="C18" s="133" t="s">
        <v>405</v>
      </c>
      <c r="D18" s="131"/>
      <c r="E18" s="134">
        <f>E17-'Balance Sheet 2022-2024 (2)'!E16</f>
        <v>0</v>
      </c>
      <c r="F18" s="27">
        <f>F17-'Balance Sheet 2022-2024 (2)'!G16</f>
        <v>0</v>
      </c>
    </row>
    <row r="19" spans="3:6">
      <c r="C19" s="5"/>
      <c r="D19" s="131"/>
      <c r="E19" s="27"/>
      <c r="F19" s="27"/>
    </row>
    <row r="20" spans="3:6">
      <c r="C20" s="5" t="s">
        <v>100</v>
      </c>
      <c r="D20" s="131"/>
      <c r="E20" s="27"/>
      <c r="F20" s="27"/>
    </row>
    <row r="21" spans="3:6">
      <c r="C21" s="10" t="s">
        <v>378</v>
      </c>
      <c r="D21" s="131">
        <v>8</v>
      </c>
      <c r="E21" s="25">
        <v>7228006</v>
      </c>
      <c r="F21" s="25">
        <v>6817701</v>
      </c>
    </row>
    <row r="22" spans="3:6">
      <c r="C22" s="10" t="s">
        <v>379</v>
      </c>
      <c r="D22" s="131">
        <v>9</v>
      </c>
      <c r="E22" s="25">
        <v>29155422</v>
      </c>
      <c r="F22" s="25">
        <v>17677934</v>
      </c>
    </row>
    <row r="23" spans="3:6">
      <c r="C23" s="10" t="s">
        <v>380</v>
      </c>
      <c r="D23" s="131">
        <v>10</v>
      </c>
      <c r="E23" s="25">
        <v>384377</v>
      </c>
      <c r="F23" s="25">
        <v>770795</v>
      </c>
    </row>
    <row r="24" spans="3:6">
      <c r="C24" s="10" t="s">
        <v>381</v>
      </c>
      <c r="D24" s="131">
        <v>11</v>
      </c>
      <c r="E24" s="25">
        <v>0</v>
      </c>
      <c r="F24" s="25">
        <v>0</v>
      </c>
    </row>
    <row r="25" spans="3:6">
      <c r="C25" s="10" t="s">
        <v>382</v>
      </c>
      <c r="D25" s="131">
        <v>12</v>
      </c>
      <c r="E25" s="25">
        <v>0</v>
      </c>
      <c r="F25" s="25">
        <v>0</v>
      </c>
    </row>
    <row r="26" spans="3:6">
      <c r="C26" s="10" t="s">
        <v>383</v>
      </c>
      <c r="D26" s="131">
        <v>13</v>
      </c>
      <c r="E26" s="25">
        <v>0</v>
      </c>
      <c r="F26" s="25">
        <v>0</v>
      </c>
    </row>
    <row r="27" spans="3:6" ht="22.5">
      <c r="C27" s="10" t="s">
        <v>384</v>
      </c>
      <c r="D27" s="131">
        <v>14</v>
      </c>
      <c r="E27" s="25">
        <v>0</v>
      </c>
      <c r="F27" s="25">
        <v>0</v>
      </c>
    </row>
    <row r="28" spans="3:6">
      <c r="C28" s="10" t="s">
        <v>385</v>
      </c>
      <c r="D28" s="131">
        <v>15</v>
      </c>
      <c r="E28" s="25">
        <v>0</v>
      </c>
      <c r="F28" s="25">
        <v>0</v>
      </c>
    </row>
    <row r="29" spans="3:6">
      <c r="C29" s="10" t="s">
        <v>386</v>
      </c>
      <c r="D29" s="131">
        <v>16</v>
      </c>
      <c r="E29" s="25">
        <v>0</v>
      </c>
      <c r="F29" s="25">
        <v>497410</v>
      </c>
    </row>
    <row r="30" spans="3:6" ht="15.75" thickBot="1">
      <c r="C30" s="5" t="s">
        <v>110</v>
      </c>
      <c r="D30" s="131">
        <v>17</v>
      </c>
      <c r="E30" s="26">
        <v>36767805</v>
      </c>
      <c r="F30" s="26">
        <v>25763840</v>
      </c>
    </row>
    <row r="31" spans="3:6">
      <c r="C31" s="5"/>
      <c r="D31" s="131"/>
      <c r="E31" s="27">
        <f>E30/E4</f>
        <v>7390513.5678391969</v>
      </c>
      <c r="F31" s="27">
        <f>F30/F4</f>
        <v>5179702.4527543224</v>
      </c>
    </row>
    <row r="32" spans="3:6">
      <c r="C32" s="133" t="s">
        <v>405</v>
      </c>
      <c r="D32" s="131"/>
      <c r="E32" s="134">
        <f>E31-'Balance Sheet 2022-2024 (2)'!E27</f>
        <v>0</v>
      </c>
      <c r="F32" s="27">
        <f>F31-'Balance Sheet 2022-2024 (2)'!G27</f>
        <v>0</v>
      </c>
    </row>
    <row r="33" spans="3:6">
      <c r="C33" s="5"/>
      <c r="D33" s="131"/>
      <c r="E33" s="27"/>
      <c r="F33" s="27"/>
    </row>
    <row r="34" spans="3:6">
      <c r="C34" s="5" t="s">
        <v>111</v>
      </c>
      <c r="D34" s="131"/>
      <c r="E34" s="27"/>
      <c r="F34" s="27"/>
    </row>
    <row r="35" spans="3:6">
      <c r="C35" s="10" t="s">
        <v>387</v>
      </c>
      <c r="D35" s="131">
        <v>18</v>
      </c>
      <c r="E35" s="25">
        <v>0</v>
      </c>
      <c r="F35" s="25">
        <v>0</v>
      </c>
    </row>
    <row r="36" spans="3:6">
      <c r="C36" s="10" t="s">
        <v>388</v>
      </c>
      <c r="D36" s="131">
        <v>19</v>
      </c>
      <c r="E36" s="25">
        <v>0</v>
      </c>
      <c r="F36" s="25">
        <v>0</v>
      </c>
    </row>
    <row r="37" spans="3:6">
      <c r="C37" s="10" t="s">
        <v>389</v>
      </c>
      <c r="D37" s="131">
        <v>20</v>
      </c>
      <c r="E37" s="25">
        <v>0</v>
      </c>
      <c r="F37" s="25">
        <v>0</v>
      </c>
    </row>
    <row r="38" spans="3:6" ht="22.5">
      <c r="C38" s="10" t="s">
        <v>390</v>
      </c>
      <c r="D38" s="131">
        <v>21</v>
      </c>
      <c r="E38" s="25">
        <v>0</v>
      </c>
      <c r="F38" s="25">
        <v>0</v>
      </c>
    </row>
    <row r="39" spans="3:6">
      <c r="C39" s="10" t="s">
        <v>391</v>
      </c>
      <c r="D39" s="131">
        <v>22</v>
      </c>
      <c r="E39" s="27">
        <v>0</v>
      </c>
      <c r="F39" s="27">
        <v>0</v>
      </c>
    </row>
    <row r="40" spans="3:6">
      <c r="C40" s="10" t="s">
        <v>392</v>
      </c>
      <c r="D40" s="131">
        <v>23</v>
      </c>
      <c r="E40" s="27">
        <v>51634</v>
      </c>
      <c r="F40" s="27">
        <v>50127</v>
      </c>
    </row>
    <row r="41" spans="3:6" ht="15.75" thickBot="1">
      <c r="C41" s="5" t="s">
        <v>118</v>
      </c>
      <c r="D41" s="131">
        <v>24</v>
      </c>
      <c r="E41" s="26">
        <v>51634</v>
      </c>
      <c r="F41" s="26">
        <v>50127</v>
      </c>
    </row>
    <row r="42" spans="3:6">
      <c r="C42" s="5"/>
      <c r="D42" s="131"/>
      <c r="E42" s="65">
        <f>E41/E4</f>
        <v>10378.693467336685</v>
      </c>
      <c r="F42" s="65">
        <f>F41/F4</f>
        <v>10077.804583835947</v>
      </c>
    </row>
    <row r="43" spans="3:6">
      <c r="C43" s="133" t="s">
        <v>405</v>
      </c>
      <c r="D43" s="131"/>
      <c r="E43" s="134">
        <f>E42-'Balance Sheet 2022-2024 (2)'!E35</f>
        <v>0</v>
      </c>
      <c r="F43" s="27">
        <f>F42-'Balance Sheet 2022-2024 (2)'!G35</f>
        <v>0</v>
      </c>
    </row>
    <row r="44" spans="3:6">
      <c r="C44" s="5"/>
      <c r="D44" s="131"/>
    </row>
    <row r="45" spans="3:6" ht="15.75" thickBot="1">
      <c r="C45" s="5" t="s">
        <v>119</v>
      </c>
      <c r="D45" s="131">
        <v>25</v>
      </c>
      <c r="E45" s="26">
        <v>36946727</v>
      </c>
      <c r="F45" s="26">
        <v>25913365</v>
      </c>
    </row>
    <row r="46" spans="3:6">
      <c r="C46" s="5"/>
      <c r="D46" s="131"/>
      <c r="E46" s="27">
        <f>E45/E4</f>
        <v>7426477.788944724</v>
      </c>
      <c r="F46" s="27">
        <f>F45/F4</f>
        <v>5209763.7716123844</v>
      </c>
    </row>
    <row r="47" spans="3:6">
      <c r="C47" s="133" t="s">
        <v>405</v>
      </c>
      <c r="D47" s="131"/>
      <c r="E47" s="134">
        <f>E46-'Balance Sheet 2022-2024 (2)'!E37</f>
        <v>0</v>
      </c>
      <c r="F47" s="27">
        <f>F46-'Balance Sheet 2022-2024 (2)'!G37</f>
        <v>0</v>
      </c>
    </row>
    <row r="48" spans="3:6">
      <c r="C48" s="5"/>
      <c r="D48" s="131"/>
      <c r="E48" s="27"/>
      <c r="F48" s="27"/>
    </row>
    <row r="49" spans="3:6">
      <c r="C49" s="5"/>
      <c r="D49" s="131"/>
      <c r="E49" s="27"/>
      <c r="F49" s="27"/>
    </row>
    <row r="50" spans="3:6">
      <c r="C50" s="5" t="s">
        <v>120</v>
      </c>
      <c r="D50" s="131"/>
      <c r="E50" s="27"/>
      <c r="F50" s="27"/>
    </row>
    <row r="51" spans="3:6">
      <c r="C51" s="5" t="s">
        <v>121</v>
      </c>
      <c r="D51" s="131"/>
      <c r="E51" s="27"/>
      <c r="F51" s="27"/>
    </row>
    <row r="52" spans="3:6" ht="22.5">
      <c r="C52" s="28" t="s">
        <v>393</v>
      </c>
      <c r="D52" s="131">
        <v>26</v>
      </c>
      <c r="E52" s="25">
        <v>662608</v>
      </c>
      <c r="F52" s="25">
        <v>702683</v>
      </c>
    </row>
    <row r="53" spans="3:6">
      <c r="C53" s="28" t="s">
        <v>394</v>
      </c>
      <c r="D53" s="131">
        <v>27</v>
      </c>
      <c r="E53" s="25">
        <v>0</v>
      </c>
      <c r="F53" s="25">
        <v>0</v>
      </c>
    </row>
    <row r="54" spans="3:6" ht="33.75">
      <c r="C54" s="28" t="s">
        <v>395</v>
      </c>
      <c r="D54" s="131">
        <v>28</v>
      </c>
      <c r="E54" s="25">
        <v>0</v>
      </c>
      <c r="F54" s="25">
        <v>0</v>
      </c>
    </row>
    <row r="55" spans="3:6">
      <c r="C55" s="15" t="s">
        <v>396</v>
      </c>
      <c r="D55" s="131">
        <v>29</v>
      </c>
      <c r="E55" s="25">
        <v>0</v>
      </c>
      <c r="F55" s="25">
        <v>0</v>
      </c>
    </row>
    <row r="56" spans="3:6" ht="15.75" thickBot="1">
      <c r="C56" s="5" t="s">
        <v>126</v>
      </c>
      <c r="D56" s="131">
        <v>30</v>
      </c>
      <c r="E56" s="26">
        <v>662608</v>
      </c>
      <c r="F56" s="26">
        <v>702683</v>
      </c>
    </row>
    <row r="57" spans="3:6">
      <c r="C57" s="5"/>
      <c r="D57" s="131"/>
      <c r="E57" s="27">
        <f>E56/E4</f>
        <v>133187.53768844221</v>
      </c>
      <c r="F57" s="27">
        <f>F56/F4</f>
        <v>141271.21029352632</v>
      </c>
    </row>
    <row r="58" spans="3:6">
      <c r="C58" s="133" t="s">
        <v>405</v>
      </c>
      <c r="D58" s="131"/>
      <c r="E58" s="134">
        <f>E57-'Balance Sheet 2022-2024 (2)'!E45</f>
        <v>0</v>
      </c>
      <c r="F58" s="134">
        <f>F57/'Balance Sheet 2022-2024 (2)'!G45</f>
        <v>1</v>
      </c>
    </row>
    <row r="59" spans="3:6">
      <c r="C59" s="5"/>
      <c r="D59" s="131"/>
      <c r="E59" s="27"/>
      <c r="F59" s="27"/>
    </row>
    <row r="60" spans="3:6">
      <c r="C60" s="5" t="s">
        <v>127</v>
      </c>
      <c r="D60" s="131"/>
      <c r="E60" s="27"/>
      <c r="F60" s="27"/>
    </row>
    <row r="61" spans="3:6" ht="22.5">
      <c r="C61" s="28" t="s">
        <v>397</v>
      </c>
      <c r="D61" s="131">
        <v>31</v>
      </c>
      <c r="E61" s="27">
        <v>28740852</v>
      </c>
      <c r="F61" s="27">
        <v>25126157</v>
      </c>
    </row>
    <row r="62" spans="3:6">
      <c r="C62" s="10" t="s">
        <v>398</v>
      </c>
      <c r="D62" s="131">
        <v>32</v>
      </c>
      <c r="E62" s="27">
        <v>19786246</v>
      </c>
      <c r="F62" s="27">
        <v>6860383</v>
      </c>
    </row>
    <row r="63" spans="3:6" ht="22.5">
      <c r="C63" s="10" t="s">
        <v>399</v>
      </c>
      <c r="D63" s="131">
        <v>33</v>
      </c>
      <c r="E63" s="27">
        <v>0</v>
      </c>
      <c r="F63" s="27">
        <v>0</v>
      </c>
    </row>
    <row r="64" spans="3:6" ht="33.75">
      <c r="C64" s="28" t="s">
        <v>400</v>
      </c>
      <c r="D64" s="131">
        <v>34</v>
      </c>
      <c r="E64" s="27">
        <v>1165551</v>
      </c>
      <c r="F64" s="27">
        <v>1601891</v>
      </c>
    </row>
    <row r="65" spans="3:7">
      <c r="C65" s="15" t="s">
        <v>401</v>
      </c>
      <c r="D65" s="131">
        <v>35</v>
      </c>
      <c r="E65" s="27">
        <v>0</v>
      </c>
      <c r="F65" s="27">
        <v>0</v>
      </c>
    </row>
    <row r="66" spans="3:7">
      <c r="C66" s="15" t="s">
        <v>402</v>
      </c>
      <c r="D66" s="131">
        <v>36</v>
      </c>
      <c r="E66" s="27">
        <v>0</v>
      </c>
      <c r="F66" s="27">
        <v>0</v>
      </c>
    </row>
    <row r="67" spans="3:7" ht="15.75" thickBot="1">
      <c r="C67" s="5" t="s">
        <v>134</v>
      </c>
      <c r="D67" s="131">
        <v>37</v>
      </c>
      <c r="E67" s="26">
        <v>49692651</v>
      </c>
      <c r="F67" s="26">
        <v>33588431</v>
      </c>
    </row>
    <row r="68" spans="3:7">
      <c r="C68" s="5"/>
      <c r="D68" s="131"/>
      <c r="E68" s="27">
        <f>E67/E4</f>
        <v>9988472.5628140718</v>
      </c>
      <c r="F68" s="27">
        <f>F67/F4</f>
        <v>6752800.7639726577</v>
      </c>
    </row>
    <row r="69" spans="3:7">
      <c r="C69" s="133" t="s">
        <v>405</v>
      </c>
      <c r="D69" s="131"/>
      <c r="E69" s="134">
        <f>E68-'Balance Sheet 2022-2024 (2)'!E53</f>
        <v>0</v>
      </c>
      <c r="F69" s="136">
        <f>F68-'Balance Sheet 2022-2024 (2)'!G53</f>
        <v>0</v>
      </c>
    </row>
    <row r="70" spans="3:7">
      <c r="C70" s="5"/>
      <c r="D70" s="131"/>
      <c r="E70" s="27"/>
      <c r="F70" s="27"/>
    </row>
    <row r="71" spans="3:7">
      <c r="C71" s="5"/>
      <c r="D71" s="131"/>
      <c r="E71" s="27"/>
      <c r="F71" s="27"/>
    </row>
    <row r="72" spans="3:7">
      <c r="C72" s="5" t="s">
        <v>135</v>
      </c>
      <c r="D72" s="131"/>
      <c r="E72" s="27"/>
      <c r="F72" s="27"/>
    </row>
    <row r="73" spans="3:7">
      <c r="C73" s="10" t="s">
        <v>403</v>
      </c>
      <c r="D73" s="131">
        <v>38</v>
      </c>
      <c r="E73" s="25">
        <v>0</v>
      </c>
      <c r="F73" s="25">
        <v>0</v>
      </c>
    </row>
    <row r="74" spans="3:7" ht="22.5">
      <c r="C74" s="28" t="s">
        <v>404</v>
      </c>
      <c r="D74" s="131">
        <v>39</v>
      </c>
      <c r="E74" s="25">
        <v>0</v>
      </c>
      <c r="F74" s="25">
        <v>0</v>
      </c>
    </row>
    <row r="75" spans="3:7" ht="15.75" thickBot="1">
      <c r="C75" s="5" t="s">
        <v>138</v>
      </c>
      <c r="D75" s="131">
        <v>40</v>
      </c>
      <c r="E75" s="26">
        <v>0</v>
      </c>
      <c r="F75" s="26">
        <v>0</v>
      </c>
    </row>
    <row r="76" spans="3:7" ht="23.25" thickBot="1">
      <c r="C76" s="5" t="s">
        <v>139</v>
      </c>
      <c r="D76" s="131">
        <v>41</v>
      </c>
      <c r="E76" s="132">
        <v>5409137</v>
      </c>
      <c r="F76" s="132">
        <v>15400127</v>
      </c>
      <c r="G76" s="137"/>
    </row>
    <row r="77" spans="3:7">
      <c r="C77" s="5"/>
      <c r="D77" s="131"/>
      <c r="E77" s="27">
        <f>E76/E4</f>
        <v>1087263.7185929648</v>
      </c>
      <c r="F77" s="27">
        <f>F76/F4</f>
        <v>3096125.251306795</v>
      </c>
    </row>
    <row r="78" spans="3:7">
      <c r="C78" s="133" t="s">
        <v>405</v>
      </c>
      <c r="D78" s="131"/>
      <c r="E78" s="134">
        <f>E77-'Balance Sheet 2022-2024 (2)'!E58</f>
        <v>0</v>
      </c>
      <c r="F78" s="136"/>
    </row>
    <row r="79" spans="3:7" ht="15.75" thickBot="1">
      <c r="C79" s="5"/>
      <c r="D79" s="131"/>
      <c r="E79" s="132"/>
      <c r="F79" s="132"/>
    </row>
    <row r="80" spans="3:7" ht="15.75" thickBot="1">
      <c r="C80" s="5" t="s">
        <v>140</v>
      </c>
      <c r="D80" s="131">
        <v>42</v>
      </c>
      <c r="E80" s="26">
        <v>55764396</v>
      </c>
      <c r="F80" s="26">
        <v>49691241</v>
      </c>
    </row>
    <row r="81" spans="3:6">
      <c r="C81" s="5"/>
      <c r="D81" s="131"/>
      <c r="E81" s="135">
        <f>E80/E4</f>
        <v>11208923.819095477</v>
      </c>
      <c r="F81" s="135">
        <f>F80/F4</f>
        <v>9990197.2255729791</v>
      </c>
    </row>
    <row r="82" spans="3:6">
      <c r="C82" s="133" t="s">
        <v>405</v>
      </c>
      <c r="D82" s="131"/>
      <c r="E82" s="136">
        <f>E81-'Balance Sheet 2022-2024 (2)'!E60</f>
        <v>0</v>
      </c>
      <c r="F82" s="136"/>
    </row>
    <row r="83" spans="3:6">
      <c r="C83" s="5"/>
      <c r="D83" s="131"/>
      <c r="E83" s="27"/>
      <c r="F83" s="27"/>
    </row>
    <row r="84" spans="3:6" ht="15.75" thickBot="1">
      <c r="C84" s="5"/>
      <c r="D84" s="131"/>
      <c r="E84" s="132"/>
      <c r="F84" s="132"/>
    </row>
  </sheetData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D61E45-10F2-4BE0-A6CD-3EF58B099065}">
  <dimension ref="B2:X144"/>
  <sheetViews>
    <sheetView showGridLines="0" tabSelected="1" workbookViewId="0">
      <selection activeCell="Q18" sqref="Q18"/>
    </sheetView>
  </sheetViews>
  <sheetFormatPr defaultRowHeight="11.25" outlineLevelRow="1"/>
  <cols>
    <col min="1" max="1" width="9.140625" style="162"/>
    <col min="2" max="2" width="37.7109375" style="162" customWidth="1"/>
    <col min="3" max="3" width="5.7109375" style="162" bestFit="1" customWidth="1"/>
    <col min="4" max="4" width="21.140625" style="162" bestFit="1" customWidth="1"/>
    <col min="5" max="5" width="3.140625" style="162" customWidth="1"/>
    <col min="6" max="6" width="9.85546875" style="162" bestFit="1" customWidth="1"/>
    <col min="7" max="7" width="0" style="162" hidden="1" customWidth="1"/>
    <col min="8" max="8" width="6.140625" style="162" bestFit="1" customWidth="1"/>
    <col min="9" max="9" width="0" style="162" hidden="1" customWidth="1"/>
    <col min="10" max="10" width="9.85546875" style="162" bestFit="1" customWidth="1"/>
    <col min="11" max="11" width="9.140625" style="162"/>
    <col min="12" max="12" width="59.7109375" style="162" bestFit="1" customWidth="1"/>
    <col min="13" max="13" width="7.28515625" style="162" bestFit="1" customWidth="1"/>
    <col min="14" max="15" width="9.85546875" style="162" bestFit="1" customWidth="1"/>
    <col min="16" max="16" width="10.42578125" style="162" bestFit="1" customWidth="1"/>
    <col min="17" max="17" width="9.140625" style="162"/>
    <col min="18" max="18" width="47.5703125" style="162" bestFit="1" customWidth="1"/>
    <col min="19" max="19" width="9.85546875" style="162" bestFit="1" customWidth="1"/>
    <col min="20" max="20" width="6.140625" style="162" bestFit="1" customWidth="1"/>
    <col min="21" max="21" width="9.85546875" style="162" bestFit="1" customWidth="1"/>
    <col min="22" max="22" width="6.140625" style="162" bestFit="1" customWidth="1"/>
    <col min="23" max="23" width="9.85546875" style="162" bestFit="1" customWidth="1"/>
    <col min="24" max="24" width="6.140625" style="162" bestFit="1" customWidth="1"/>
    <col min="25" max="16384" width="9.140625" style="162"/>
  </cols>
  <sheetData>
    <row r="2" spans="2:24">
      <c r="B2" s="168" t="s">
        <v>570</v>
      </c>
      <c r="C2" s="168"/>
      <c r="D2" s="168"/>
      <c r="E2" s="168"/>
      <c r="F2" s="168"/>
      <c r="G2" s="168"/>
      <c r="H2" s="168"/>
      <c r="I2" s="168"/>
      <c r="J2" s="168"/>
      <c r="L2" s="168" t="s">
        <v>571</v>
      </c>
      <c r="M2" s="168"/>
      <c r="N2" s="168"/>
      <c r="O2" s="168"/>
      <c r="P2" s="168"/>
      <c r="R2" s="168" t="s">
        <v>631</v>
      </c>
      <c r="S2" s="168"/>
      <c r="T2" s="168"/>
      <c r="U2" s="168"/>
      <c r="V2" s="168"/>
      <c r="W2" s="168"/>
      <c r="X2" s="168"/>
    </row>
    <row r="3" spans="2:24">
      <c r="R3" s="187" t="s">
        <v>724</v>
      </c>
    </row>
    <row r="4" spans="2:24" ht="33.75">
      <c r="B4" s="163" t="s">
        <v>406</v>
      </c>
      <c r="C4" s="163" t="s">
        <v>407</v>
      </c>
      <c r="D4" s="164" t="s">
        <v>408</v>
      </c>
      <c r="E4" s="165"/>
      <c r="F4" s="163" t="s">
        <v>573</v>
      </c>
      <c r="G4" s="163"/>
      <c r="H4" s="163" t="s">
        <v>572</v>
      </c>
      <c r="I4" s="163"/>
      <c r="J4" s="163" t="s">
        <v>574</v>
      </c>
      <c r="K4" s="138"/>
      <c r="L4" s="166" t="s">
        <v>0</v>
      </c>
      <c r="M4" s="167" t="s">
        <v>371</v>
      </c>
      <c r="N4" s="163" t="s">
        <v>573</v>
      </c>
      <c r="O4" s="163" t="s">
        <v>574</v>
      </c>
      <c r="P4" s="167" t="s">
        <v>409</v>
      </c>
      <c r="R4" s="166" t="s">
        <v>0</v>
      </c>
      <c r="S4" s="163" t="s">
        <v>630</v>
      </c>
      <c r="T4" s="169"/>
      <c r="U4" s="163" t="s">
        <v>573</v>
      </c>
      <c r="V4" s="169"/>
      <c r="W4" s="163" t="s">
        <v>574</v>
      </c>
      <c r="X4" s="166"/>
    </row>
    <row r="5" spans="2:24">
      <c r="B5" s="139" t="s">
        <v>410</v>
      </c>
      <c r="C5" s="4"/>
      <c r="D5" s="4"/>
      <c r="E5" s="4"/>
      <c r="F5" s="24"/>
      <c r="G5" s="24"/>
      <c r="H5" s="24"/>
      <c r="I5" s="24"/>
      <c r="J5" s="24"/>
      <c r="K5" s="138"/>
      <c r="L5" s="5" t="s">
        <v>91</v>
      </c>
      <c r="M5" s="4"/>
      <c r="N5" s="24"/>
      <c r="O5" s="24"/>
      <c r="P5" s="24"/>
      <c r="R5" s="5" t="s">
        <v>91</v>
      </c>
      <c r="S5" s="24"/>
      <c r="T5" s="119"/>
      <c r="U5" s="24"/>
      <c r="V5" s="119"/>
      <c r="W5" s="24"/>
      <c r="X5" s="119"/>
    </row>
    <row r="6" spans="2:24">
      <c r="B6" s="139" t="s">
        <v>411</v>
      </c>
      <c r="C6" s="4"/>
      <c r="D6" s="4"/>
      <c r="E6" s="4"/>
      <c r="F6" s="24"/>
      <c r="G6" s="24"/>
      <c r="H6" s="24"/>
      <c r="I6" s="24"/>
      <c r="J6" s="24"/>
      <c r="K6" s="138"/>
      <c r="L6" s="5" t="s">
        <v>92</v>
      </c>
      <c r="M6" s="4"/>
      <c r="N6" s="24"/>
      <c r="O6" s="24"/>
      <c r="P6" s="24"/>
      <c r="R6" s="5" t="s">
        <v>92</v>
      </c>
      <c r="S6" s="24"/>
      <c r="T6" s="119"/>
      <c r="U6" s="24"/>
      <c r="V6" s="119"/>
      <c r="W6" s="24"/>
      <c r="X6" s="119"/>
    </row>
    <row r="7" spans="2:24">
      <c r="B7" s="10" t="s">
        <v>412</v>
      </c>
      <c r="C7" s="140">
        <v>1</v>
      </c>
      <c r="D7" s="141" t="s">
        <v>413</v>
      </c>
      <c r="E7" s="15"/>
      <c r="F7" s="142">
        <v>0</v>
      </c>
      <c r="G7" s="142"/>
      <c r="H7" s="142">
        <v>0</v>
      </c>
      <c r="I7" s="142"/>
      <c r="J7" s="142">
        <v>0</v>
      </c>
      <c r="K7" s="138"/>
      <c r="L7" s="10" t="s">
        <v>372</v>
      </c>
      <c r="M7" s="131">
        <f t="shared" ref="M7:M13" si="0">C7</f>
        <v>1</v>
      </c>
      <c r="N7" s="25">
        <v>0</v>
      </c>
      <c r="O7" s="25">
        <v>0</v>
      </c>
      <c r="P7" s="25">
        <f>O7-N7</f>
        <v>0</v>
      </c>
      <c r="R7" s="10" t="s">
        <v>575</v>
      </c>
      <c r="S7" s="27">
        <v>0</v>
      </c>
      <c r="T7" s="94"/>
      <c r="U7" s="27">
        <v>0</v>
      </c>
      <c r="V7" s="94"/>
      <c r="W7" s="27">
        <v>0</v>
      </c>
      <c r="X7" s="94"/>
    </row>
    <row r="8" spans="2:24" ht="22.5">
      <c r="B8" s="10" t="s">
        <v>414</v>
      </c>
      <c r="C8" s="140">
        <v>2</v>
      </c>
      <c r="D8" s="141" t="s">
        <v>413</v>
      </c>
      <c r="E8" s="15"/>
      <c r="F8" s="142">
        <v>0</v>
      </c>
      <c r="G8" s="142"/>
      <c r="H8" s="142">
        <v>0</v>
      </c>
      <c r="I8" s="142"/>
      <c r="J8" s="142">
        <v>0</v>
      </c>
      <c r="K8" s="138"/>
      <c r="L8" s="10" t="s">
        <v>373</v>
      </c>
      <c r="M8" s="131">
        <f t="shared" si="0"/>
        <v>2</v>
      </c>
      <c r="N8" s="25">
        <f t="shared" ref="N8:N73" si="1">F8</f>
        <v>0</v>
      </c>
      <c r="O8" s="25">
        <f t="shared" ref="O8:O73" si="2">J8</f>
        <v>0</v>
      </c>
      <c r="P8" s="25">
        <f t="shared" ref="P8:P73" si="3">O8-N8</f>
        <v>0</v>
      </c>
      <c r="R8" s="10" t="s">
        <v>576</v>
      </c>
      <c r="S8" s="27">
        <v>0</v>
      </c>
      <c r="T8" s="94"/>
      <c r="U8" s="27">
        <v>0</v>
      </c>
      <c r="V8" s="94"/>
      <c r="W8" s="27">
        <v>0</v>
      </c>
      <c r="X8" s="94"/>
    </row>
    <row r="9" spans="2:24" ht="45">
      <c r="B9" s="10" t="s">
        <v>415</v>
      </c>
      <c r="C9" s="140">
        <v>3</v>
      </c>
      <c r="D9" s="141" t="s">
        <v>413</v>
      </c>
      <c r="E9" s="15"/>
      <c r="F9" s="142">
        <v>127288</v>
      </c>
      <c r="G9" s="142"/>
      <c r="H9" s="142">
        <v>0</v>
      </c>
      <c r="I9" s="142"/>
      <c r="J9" s="142">
        <v>99398</v>
      </c>
      <c r="K9" s="138"/>
      <c r="L9" s="10" t="s">
        <v>374</v>
      </c>
      <c r="M9" s="131">
        <f t="shared" si="0"/>
        <v>3</v>
      </c>
      <c r="N9" s="25">
        <f>F9</f>
        <v>127288</v>
      </c>
      <c r="O9" s="25">
        <f>J9</f>
        <v>99398</v>
      </c>
      <c r="P9" s="25">
        <f t="shared" si="3"/>
        <v>-27890</v>
      </c>
      <c r="R9" s="10" t="s">
        <v>577</v>
      </c>
      <c r="S9" s="27">
        <v>4011.3154172560116</v>
      </c>
      <c r="T9" s="120">
        <v>4.1856633944401819E-4</v>
      </c>
      <c r="U9" s="27">
        <v>25585.527638190957</v>
      </c>
      <c r="V9" s="120">
        <v>3.445176618757055E-3</v>
      </c>
      <c r="W9" s="27">
        <v>19983.514274225974</v>
      </c>
      <c r="X9" s="120">
        <v>3.8357812657676847E-3</v>
      </c>
    </row>
    <row r="10" spans="2:24">
      <c r="B10" s="10" t="s">
        <v>416</v>
      </c>
      <c r="C10" s="140">
        <v>4</v>
      </c>
      <c r="D10" s="141" t="s">
        <v>413</v>
      </c>
      <c r="E10" s="15"/>
      <c r="F10" s="142">
        <v>0</v>
      </c>
      <c r="G10" s="142"/>
      <c r="H10" s="142">
        <v>0</v>
      </c>
      <c r="I10" s="142"/>
      <c r="J10" s="142">
        <v>0</v>
      </c>
      <c r="K10" s="138"/>
      <c r="L10" s="10" t="s">
        <v>375</v>
      </c>
      <c r="M10" s="131">
        <f t="shared" si="0"/>
        <v>4</v>
      </c>
      <c r="N10" s="25">
        <f t="shared" si="1"/>
        <v>0</v>
      </c>
      <c r="O10" s="25">
        <f t="shared" si="2"/>
        <v>0</v>
      </c>
      <c r="P10" s="25">
        <f t="shared" si="3"/>
        <v>0</v>
      </c>
      <c r="R10" s="10" t="s">
        <v>578</v>
      </c>
      <c r="S10" s="27">
        <v>0</v>
      </c>
      <c r="T10" s="94"/>
      <c r="U10" s="27">
        <v>0</v>
      </c>
      <c r="V10" s="94"/>
      <c r="W10" s="27">
        <v>0</v>
      </c>
      <c r="X10" s="94"/>
    </row>
    <row r="11" spans="2:24" ht="33.75">
      <c r="B11" s="10" t="s">
        <v>417</v>
      </c>
      <c r="C11" s="140">
        <v>5</v>
      </c>
      <c r="D11" s="141" t="s">
        <v>413</v>
      </c>
      <c r="E11" s="15"/>
      <c r="F11" s="142">
        <v>0</v>
      </c>
      <c r="G11" s="142"/>
      <c r="H11" s="142">
        <v>0</v>
      </c>
      <c r="I11" s="142"/>
      <c r="J11" s="142">
        <v>0</v>
      </c>
      <c r="K11" s="138"/>
      <c r="L11" s="10" t="s">
        <v>376</v>
      </c>
      <c r="M11" s="131">
        <f t="shared" si="0"/>
        <v>5</v>
      </c>
      <c r="N11" s="25">
        <f t="shared" si="1"/>
        <v>0</v>
      </c>
      <c r="O11" s="25">
        <f t="shared" si="2"/>
        <v>0</v>
      </c>
      <c r="P11" s="25">
        <f t="shared" si="3"/>
        <v>0</v>
      </c>
      <c r="R11" s="10" t="s">
        <v>579</v>
      </c>
      <c r="S11" s="27">
        <v>0</v>
      </c>
      <c r="T11" s="94"/>
      <c r="U11" s="27">
        <v>0</v>
      </c>
      <c r="V11" s="94"/>
      <c r="W11" s="27">
        <v>0</v>
      </c>
      <c r="X11" s="94"/>
    </row>
    <row r="12" spans="2:24">
      <c r="B12" s="10" t="s">
        <v>418</v>
      </c>
      <c r="C12" s="140">
        <v>6</v>
      </c>
      <c r="D12" s="141" t="s">
        <v>413</v>
      </c>
      <c r="E12" s="15"/>
      <c r="F12" s="142">
        <v>0</v>
      </c>
      <c r="G12" s="142"/>
      <c r="H12" s="142">
        <v>0</v>
      </c>
      <c r="I12" s="142"/>
      <c r="J12" s="142">
        <v>0</v>
      </c>
      <c r="K12" s="138"/>
      <c r="L12" s="10" t="s">
        <v>377</v>
      </c>
      <c r="M12" s="131">
        <f t="shared" si="0"/>
        <v>6</v>
      </c>
      <c r="N12" s="25">
        <f t="shared" si="1"/>
        <v>0</v>
      </c>
      <c r="O12" s="25">
        <f t="shared" si="2"/>
        <v>0</v>
      </c>
      <c r="P12" s="25">
        <f t="shared" si="3"/>
        <v>0</v>
      </c>
      <c r="R12" s="10" t="s">
        <v>580</v>
      </c>
      <c r="S12" s="27">
        <v>0</v>
      </c>
      <c r="T12" s="94"/>
      <c r="U12" s="27">
        <v>0</v>
      </c>
      <c r="V12" s="94"/>
      <c r="W12" s="27">
        <v>0</v>
      </c>
      <c r="X12" s="94"/>
    </row>
    <row r="13" spans="2:24" ht="12" thickBot="1">
      <c r="B13" s="191" t="s">
        <v>419</v>
      </c>
      <c r="C13" s="199">
        <v>7</v>
      </c>
      <c r="D13" s="200"/>
      <c r="E13" s="196"/>
      <c r="F13" s="201">
        <v>127288</v>
      </c>
      <c r="G13" s="202"/>
      <c r="H13" s="201">
        <v>0</v>
      </c>
      <c r="I13" s="201"/>
      <c r="J13" s="201">
        <v>99398</v>
      </c>
      <c r="K13" s="138"/>
      <c r="L13" s="191" t="s">
        <v>99</v>
      </c>
      <c r="M13" s="192">
        <f t="shared" si="0"/>
        <v>7</v>
      </c>
      <c r="N13" s="203">
        <f t="shared" si="1"/>
        <v>127288</v>
      </c>
      <c r="O13" s="203">
        <f>J13</f>
        <v>99398</v>
      </c>
      <c r="P13" s="203">
        <f t="shared" si="3"/>
        <v>-27890</v>
      </c>
      <c r="R13" s="191" t="s">
        <v>220</v>
      </c>
      <c r="S13" s="204">
        <v>4011.3154172560116</v>
      </c>
      <c r="T13" s="205">
        <v>1.9013008596663076E-4</v>
      </c>
      <c r="U13" s="204">
        <v>25585.527638190957</v>
      </c>
      <c r="V13" s="205">
        <v>1.3602633008435573E-3</v>
      </c>
      <c r="W13" s="204">
        <v>19983.514274225974</v>
      </c>
      <c r="X13" s="205">
        <v>1.2980412920205577E-3</v>
      </c>
    </row>
    <row r="14" spans="2:24">
      <c r="B14" s="139" t="s">
        <v>420</v>
      </c>
      <c r="C14" s="140"/>
      <c r="D14" s="141"/>
      <c r="E14" s="32"/>
      <c r="F14" s="13"/>
      <c r="G14" s="13"/>
      <c r="H14" s="13"/>
      <c r="I14" s="13"/>
      <c r="J14" s="13"/>
      <c r="K14" s="138"/>
      <c r="L14" s="5" t="s">
        <v>100</v>
      </c>
      <c r="M14" s="131"/>
      <c r="N14" s="27"/>
      <c r="O14" s="27"/>
      <c r="P14" s="27"/>
      <c r="R14" s="5" t="s">
        <v>100</v>
      </c>
      <c r="S14" s="27">
        <v>0</v>
      </c>
      <c r="T14" s="94"/>
      <c r="U14" s="27">
        <v>0</v>
      </c>
      <c r="V14" s="94"/>
      <c r="W14" s="27">
        <v>0</v>
      </c>
      <c r="X14" s="94"/>
    </row>
    <row r="15" spans="2:24" ht="22.5">
      <c r="B15" s="10" t="s">
        <v>421</v>
      </c>
      <c r="C15" s="140">
        <v>8</v>
      </c>
      <c r="D15" s="141" t="s">
        <v>422</v>
      </c>
      <c r="E15" s="32"/>
      <c r="F15" s="142">
        <v>7228006</v>
      </c>
      <c r="G15" s="142"/>
      <c r="H15" s="142">
        <v>0</v>
      </c>
      <c r="I15" s="142"/>
      <c r="J15" s="142">
        <v>6817701</v>
      </c>
      <c r="K15" s="138"/>
      <c r="L15" s="10" t="s">
        <v>378</v>
      </c>
      <c r="M15" s="131">
        <f t="shared" ref="M15:M24" si="4">C15</f>
        <v>8</v>
      </c>
      <c r="N15" s="25">
        <f t="shared" si="1"/>
        <v>7228006</v>
      </c>
      <c r="O15" s="25">
        <f t="shared" si="2"/>
        <v>6817701</v>
      </c>
      <c r="P15" s="25">
        <f t="shared" si="3"/>
        <v>-410305</v>
      </c>
      <c r="R15" s="10" t="s">
        <v>581</v>
      </c>
      <c r="S15" s="27">
        <v>1523198.8280460699</v>
      </c>
      <c r="T15" s="94">
        <v>7.2197245540660801E-2</v>
      </c>
      <c r="U15" s="27">
        <v>1452865.5276381911</v>
      </c>
      <c r="V15" s="94">
        <v>7.7242091163951337E-2</v>
      </c>
      <c r="W15" s="27">
        <v>1370667.6718938479</v>
      </c>
      <c r="X15" s="94">
        <v>8.9032550098088969E-2</v>
      </c>
    </row>
    <row r="16" spans="2:24" ht="22.5">
      <c r="B16" s="10" t="s">
        <v>423</v>
      </c>
      <c r="C16" s="140">
        <v>9</v>
      </c>
      <c r="D16" s="141" t="s">
        <v>422</v>
      </c>
      <c r="E16" s="32"/>
      <c r="F16" s="142">
        <v>29155422</v>
      </c>
      <c r="G16" s="142"/>
      <c r="H16" s="142">
        <v>0</v>
      </c>
      <c r="I16" s="142"/>
      <c r="J16" s="142">
        <v>17677934</v>
      </c>
      <c r="K16" s="138"/>
      <c r="L16" s="10" t="s">
        <v>379</v>
      </c>
      <c r="M16" s="131">
        <f t="shared" si="4"/>
        <v>9</v>
      </c>
      <c r="N16" s="25">
        <f>F16</f>
        <v>29155422</v>
      </c>
      <c r="O16" s="25">
        <f>J16</f>
        <v>17677934</v>
      </c>
      <c r="P16" s="25">
        <f t="shared" si="3"/>
        <v>-11477488</v>
      </c>
      <c r="R16" s="10" t="s">
        <v>582</v>
      </c>
      <c r="S16" s="27">
        <v>7850724.7928874521</v>
      </c>
      <c r="T16" s="94">
        <v>0.37211209404049356</v>
      </c>
      <c r="U16" s="27">
        <v>5860386.3316582916</v>
      </c>
      <c r="V16" s="94">
        <v>0.31156943755269051</v>
      </c>
      <c r="W16" s="27">
        <v>3554067.9533574586</v>
      </c>
      <c r="X16" s="94">
        <v>0.23085663986814769</v>
      </c>
    </row>
    <row r="17" spans="2:24" ht="22.5">
      <c r="B17" s="10" t="s">
        <v>424</v>
      </c>
      <c r="C17" s="140">
        <v>10</v>
      </c>
      <c r="D17" s="141" t="s">
        <v>422</v>
      </c>
      <c r="E17" s="32"/>
      <c r="F17" s="142">
        <v>384377</v>
      </c>
      <c r="G17" s="142"/>
      <c r="H17" s="142">
        <v>0</v>
      </c>
      <c r="I17" s="142"/>
      <c r="J17" s="142">
        <v>770795</v>
      </c>
      <c r="K17" s="138"/>
      <c r="L17" s="10" t="s">
        <v>380</v>
      </c>
      <c r="M17" s="131">
        <f t="shared" si="4"/>
        <v>10</v>
      </c>
      <c r="N17" s="25">
        <f>F17</f>
        <v>384377</v>
      </c>
      <c r="O17" s="25">
        <f>J17</f>
        <v>770795</v>
      </c>
      <c r="P17" s="25">
        <f t="shared" si="3"/>
        <v>386418</v>
      </c>
      <c r="R17" s="10" t="s">
        <v>583</v>
      </c>
      <c r="S17" s="27">
        <v>76867.447969286732</v>
      </c>
      <c r="T17" s="94">
        <v>3.643396983335068E-3</v>
      </c>
      <c r="U17" s="27">
        <v>77261.708542713575</v>
      </c>
      <c r="V17" s="94">
        <v>4.1076450787846776E-3</v>
      </c>
      <c r="W17" s="27">
        <v>154964.817048653</v>
      </c>
      <c r="X17" s="94">
        <v>1.006583369567784E-2</v>
      </c>
    </row>
    <row r="18" spans="2:24" ht="22.5">
      <c r="B18" s="10" t="s">
        <v>425</v>
      </c>
      <c r="C18" s="140">
        <v>11</v>
      </c>
      <c r="D18" s="141" t="s">
        <v>422</v>
      </c>
      <c r="E18" s="32"/>
      <c r="F18" s="142">
        <v>0</v>
      </c>
      <c r="G18" s="142"/>
      <c r="H18" s="142">
        <v>0</v>
      </c>
      <c r="I18" s="142"/>
      <c r="J18" s="142">
        <v>0</v>
      </c>
      <c r="K18" s="138"/>
      <c r="L18" s="10" t="s">
        <v>381</v>
      </c>
      <c r="M18" s="131">
        <f t="shared" si="4"/>
        <v>11</v>
      </c>
      <c r="N18" s="25">
        <f t="shared" si="1"/>
        <v>0</v>
      </c>
      <c r="O18" s="25">
        <f t="shared" si="2"/>
        <v>0</v>
      </c>
      <c r="P18" s="25">
        <f t="shared" si="3"/>
        <v>0</v>
      </c>
      <c r="R18" s="10" t="s">
        <v>584</v>
      </c>
      <c r="S18" s="27">
        <v>0</v>
      </c>
      <c r="T18" s="94"/>
      <c r="U18" s="27">
        <v>0</v>
      </c>
      <c r="V18" s="94"/>
      <c r="W18" s="27">
        <v>0</v>
      </c>
      <c r="X18" s="94"/>
    </row>
    <row r="19" spans="2:24" ht="22.5">
      <c r="B19" s="10" t="s">
        <v>426</v>
      </c>
      <c r="C19" s="140">
        <v>12</v>
      </c>
      <c r="D19" s="141" t="s">
        <v>422</v>
      </c>
      <c r="E19" s="32"/>
      <c r="F19" s="142">
        <v>0</v>
      </c>
      <c r="G19" s="142"/>
      <c r="H19" s="142">
        <v>0</v>
      </c>
      <c r="I19" s="142"/>
      <c r="J19" s="142">
        <v>0</v>
      </c>
      <c r="K19" s="138"/>
      <c r="L19" s="10" t="s">
        <v>382</v>
      </c>
      <c r="M19" s="131">
        <f t="shared" si="4"/>
        <v>12</v>
      </c>
      <c r="N19" s="25">
        <f>F19</f>
        <v>0</v>
      </c>
      <c r="O19" s="25">
        <f>J19</f>
        <v>0</v>
      </c>
      <c r="P19" s="25">
        <f t="shared" si="3"/>
        <v>0</v>
      </c>
      <c r="R19" s="10" t="s">
        <v>585</v>
      </c>
      <c r="S19" s="27">
        <v>4992.5237421701358</v>
      </c>
      <c r="T19" s="94">
        <v>2.3663782813134759E-4</v>
      </c>
      <c r="U19" s="27">
        <v>0</v>
      </c>
      <c r="V19" s="94"/>
      <c r="W19" s="27">
        <v>0</v>
      </c>
      <c r="X19" s="94"/>
    </row>
    <row r="20" spans="2:24" ht="22.5">
      <c r="B20" s="10" t="s">
        <v>427</v>
      </c>
      <c r="C20" s="140">
        <v>13</v>
      </c>
      <c r="D20" s="141" t="s">
        <v>422</v>
      </c>
      <c r="E20" s="32"/>
      <c r="F20" s="142">
        <v>0</v>
      </c>
      <c r="G20" s="142"/>
      <c r="H20" s="142">
        <v>0</v>
      </c>
      <c r="I20" s="142"/>
      <c r="J20" s="142">
        <v>0</v>
      </c>
      <c r="K20" s="138"/>
      <c r="L20" s="10" t="s">
        <v>383</v>
      </c>
      <c r="M20" s="131">
        <f t="shared" si="4"/>
        <v>13</v>
      </c>
      <c r="N20" s="25">
        <f t="shared" si="1"/>
        <v>0</v>
      </c>
      <c r="O20" s="25">
        <f t="shared" si="2"/>
        <v>0</v>
      </c>
      <c r="P20" s="25">
        <f t="shared" si="3"/>
        <v>0</v>
      </c>
      <c r="R20" s="10" t="s">
        <v>586</v>
      </c>
      <c r="S20" s="27">
        <v>0</v>
      </c>
      <c r="T20" s="94"/>
      <c r="U20" s="27">
        <v>0</v>
      </c>
      <c r="V20" s="94"/>
      <c r="W20" s="27">
        <v>0</v>
      </c>
      <c r="X20" s="94"/>
    </row>
    <row r="21" spans="2:24" ht="33.75">
      <c r="B21" s="10" t="s">
        <v>428</v>
      </c>
      <c r="C21" s="140">
        <v>14</v>
      </c>
      <c r="D21" s="141" t="s">
        <v>422</v>
      </c>
      <c r="E21" s="32"/>
      <c r="F21" s="142">
        <v>0</v>
      </c>
      <c r="G21" s="142"/>
      <c r="H21" s="142">
        <v>0</v>
      </c>
      <c r="I21" s="142"/>
      <c r="J21" s="142">
        <v>0</v>
      </c>
      <c r="K21" s="138"/>
      <c r="L21" s="10" t="s">
        <v>384</v>
      </c>
      <c r="M21" s="131">
        <f t="shared" si="4"/>
        <v>14</v>
      </c>
      <c r="N21" s="25">
        <f t="shared" si="1"/>
        <v>0</v>
      </c>
      <c r="O21" s="25">
        <f t="shared" si="2"/>
        <v>0</v>
      </c>
      <c r="P21" s="25">
        <f t="shared" si="3"/>
        <v>0</v>
      </c>
      <c r="R21" s="10" t="s">
        <v>587</v>
      </c>
      <c r="S21" s="27">
        <v>0</v>
      </c>
      <c r="T21" s="94"/>
      <c r="U21" s="27">
        <v>0</v>
      </c>
      <c r="V21" s="94"/>
      <c r="W21" s="27">
        <v>0</v>
      </c>
      <c r="X21" s="94"/>
    </row>
    <row r="22" spans="2:24" ht="22.5">
      <c r="B22" s="10" t="s">
        <v>429</v>
      </c>
      <c r="C22" s="140">
        <v>15</v>
      </c>
      <c r="D22" s="141" t="s">
        <v>422</v>
      </c>
      <c r="E22" s="32"/>
      <c r="F22" s="142">
        <v>0</v>
      </c>
      <c r="G22" s="142"/>
      <c r="H22" s="142">
        <v>0</v>
      </c>
      <c r="I22" s="142"/>
      <c r="J22" s="142">
        <v>0</v>
      </c>
      <c r="K22" s="138"/>
      <c r="L22" s="10" t="s">
        <v>385</v>
      </c>
      <c r="M22" s="131">
        <f t="shared" si="4"/>
        <v>15</v>
      </c>
      <c r="N22" s="25">
        <f t="shared" si="1"/>
        <v>0</v>
      </c>
      <c r="O22" s="25">
        <f t="shared" si="2"/>
        <v>0</v>
      </c>
      <c r="P22" s="25">
        <f t="shared" si="3"/>
        <v>0</v>
      </c>
      <c r="R22" s="10" t="s">
        <v>588</v>
      </c>
      <c r="S22" s="27">
        <v>0</v>
      </c>
      <c r="T22" s="94"/>
      <c r="U22" s="27">
        <v>0</v>
      </c>
      <c r="V22" s="94"/>
      <c r="W22" s="27">
        <v>0</v>
      </c>
      <c r="X22" s="94"/>
    </row>
    <row r="23" spans="2:24">
      <c r="B23" s="10" t="s">
        <v>430</v>
      </c>
      <c r="C23" s="140">
        <v>16</v>
      </c>
      <c r="D23" s="141" t="s">
        <v>422</v>
      </c>
      <c r="E23" s="32"/>
      <c r="F23" s="142">
        <v>0</v>
      </c>
      <c r="G23" s="142"/>
      <c r="H23" s="142">
        <v>0</v>
      </c>
      <c r="I23" s="142"/>
      <c r="J23" s="142">
        <v>497410</v>
      </c>
      <c r="K23" s="138"/>
      <c r="L23" s="10" t="s">
        <v>386</v>
      </c>
      <c r="M23" s="131">
        <f t="shared" si="4"/>
        <v>16</v>
      </c>
      <c r="N23" s="25">
        <f t="shared" si="1"/>
        <v>0</v>
      </c>
      <c r="O23" s="25">
        <f t="shared" si="2"/>
        <v>497410</v>
      </c>
      <c r="P23" s="25">
        <f t="shared" si="3"/>
        <v>497410</v>
      </c>
      <c r="R23" s="10" t="s">
        <v>589</v>
      </c>
      <c r="S23" s="27">
        <v>120859.56758941201</v>
      </c>
      <c r="T23" s="94">
        <v>5.7285547471068263E-3</v>
      </c>
      <c r="U23" s="27">
        <v>0</v>
      </c>
      <c r="V23" s="94"/>
      <c r="W23" s="27">
        <v>100002.01045436268</v>
      </c>
      <c r="X23" s="94">
        <v>6.4956912519763535E-3</v>
      </c>
    </row>
    <row r="24" spans="2:24" ht="12" thickBot="1">
      <c r="B24" s="191" t="s">
        <v>431</v>
      </c>
      <c r="C24" s="199">
        <v>17</v>
      </c>
      <c r="D24" s="200"/>
      <c r="E24" s="196"/>
      <c r="F24" s="201">
        <v>36767805</v>
      </c>
      <c r="G24" s="202"/>
      <c r="H24" s="201">
        <v>0</v>
      </c>
      <c r="I24" s="201"/>
      <c r="J24" s="201">
        <v>25763840</v>
      </c>
      <c r="K24" s="138"/>
      <c r="L24" s="191" t="s">
        <v>110</v>
      </c>
      <c r="M24" s="192">
        <f t="shared" si="4"/>
        <v>17</v>
      </c>
      <c r="N24" s="203">
        <f t="shared" si="1"/>
        <v>36767805</v>
      </c>
      <c r="O24" s="203">
        <f t="shared" si="2"/>
        <v>25763840</v>
      </c>
      <c r="P24" s="203">
        <f t="shared" si="3"/>
        <v>-11003965</v>
      </c>
      <c r="R24" s="191" t="s">
        <v>220</v>
      </c>
      <c r="S24" s="204">
        <v>9576643.1602343917</v>
      </c>
      <c r="T24" s="205">
        <v>0.45391792913972762</v>
      </c>
      <c r="U24" s="204">
        <v>7390513.5678391969</v>
      </c>
      <c r="V24" s="205">
        <v>0.39291917379542657</v>
      </c>
      <c r="W24" s="204">
        <v>5179702.4527543215</v>
      </c>
      <c r="X24" s="205">
        <v>0.33645071491389084</v>
      </c>
    </row>
    <row r="25" spans="2:24">
      <c r="B25" s="139" t="s">
        <v>432</v>
      </c>
      <c r="C25" s="140"/>
      <c r="D25" s="141"/>
      <c r="E25" s="32"/>
      <c r="F25" s="13"/>
      <c r="G25" s="13"/>
      <c r="H25" s="13"/>
      <c r="I25" s="13"/>
      <c r="J25" s="13"/>
      <c r="K25" s="138"/>
      <c r="L25" s="5" t="s">
        <v>111</v>
      </c>
      <c r="M25" s="131"/>
      <c r="N25" s="27"/>
      <c r="O25" s="27"/>
      <c r="P25" s="27"/>
      <c r="R25" s="5" t="s">
        <v>111</v>
      </c>
      <c r="S25" s="27">
        <v>0</v>
      </c>
      <c r="T25" s="94"/>
      <c r="U25" s="27">
        <v>0</v>
      </c>
      <c r="V25" s="94"/>
      <c r="W25" s="27">
        <v>0</v>
      </c>
      <c r="X25" s="94"/>
    </row>
    <row r="26" spans="2:24" ht="22.5">
      <c r="B26" s="10" t="s">
        <v>433</v>
      </c>
      <c r="C26" s="140">
        <v>18</v>
      </c>
      <c r="D26" s="141" t="s">
        <v>434</v>
      </c>
      <c r="E26" s="15"/>
      <c r="F26" s="142">
        <v>0</v>
      </c>
      <c r="G26" s="142"/>
      <c r="H26" s="142">
        <v>0</v>
      </c>
      <c r="I26" s="142"/>
      <c r="J26" s="142">
        <v>0</v>
      </c>
      <c r="K26" s="138"/>
      <c r="L26" s="10" t="s">
        <v>387</v>
      </c>
      <c r="M26" s="131">
        <f t="shared" ref="M26:M33" si="5">C26</f>
        <v>18</v>
      </c>
      <c r="N26" s="25">
        <f t="shared" si="1"/>
        <v>0</v>
      </c>
      <c r="O26" s="25">
        <f t="shared" si="2"/>
        <v>0</v>
      </c>
      <c r="P26" s="25">
        <f t="shared" si="3"/>
        <v>0</v>
      </c>
      <c r="R26" s="10" t="s">
        <v>590</v>
      </c>
      <c r="S26" s="27">
        <v>0</v>
      </c>
      <c r="T26" s="94"/>
      <c r="U26" s="27">
        <v>0</v>
      </c>
      <c r="V26" s="94"/>
      <c r="W26" s="27">
        <v>0</v>
      </c>
      <c r="X26" s="94"/>
    </row>
    <row r="27" spans="2:24" ht="22.5">
      <c r="B27" s="10" t="s">
        <v>435</v>
      </c>
      <c r="C27" s="140">
        <v>19</v>
      </c>
      <c r="D27" s="141" t="s">
        <v>434</v>
      </c>
      <c r="E27" s="15"/>
      <c r="F27" s="142">
        <v>0</v>
      </c>
      <c r="G27" s="142"/>
      <c r="H27" s="142">
        <v>0</v>
      </c>
      <c r="I27" s="142"/>
      <c r="J27" s="142">
        <v>0</v>
      </c>
      <c r="K27" s="138"/>
      <c r="L27" s="10" t="s">
        <v>388</v>
      </c>
      <c r="M27" s="131">
        <f t="shared" si="5"/>
        <v>19</v>
      </c>
      <c r="N27" s="25">
        <f t="shared" si="1"/>
        <v>0</v>
      </c>
      <c r="O27" s="25">
        <f t="shared" si="2"/>
        <v>0</v>
      </c>
      <c r="P27" s="25">
        <f t="shared" si="3"/>
        <v>0</v>
      </c>
      <c r="R27" s="10" t="s">
        <v>591</v>
      </c>
      <c r="S27" s="27">
        <v>0</v>
      </c>
      <c r="T27" s="94"/>
      <c r="U27" s="27">
        <v>0</v>
      </c>
      <c r="V27" s="94"/>
      <c r="W27" s="27">
        <v>0</v>
      </c>
      <c r="X27" s="94"/>
    </row>
    <row r="28" spans="2:24" ht="22.5">
      <c r="B28" s="10" t="s">
        <v>436</v>
      </c>
      <c r="C28" s="140">
        <v>20</v>
      </c>
      <c r="D28" s="141" t="s">
        <v>434</v>
      </c>
      <c r="E28" s="15"/>
      <c r="F28" s="142">
        <v>0</v>
      </c>
      <c r="G28" s="142"/>
      <c r="H28" s="142">
        <v>0</v>
      </c>
      <c r="I28" s="142"/>
      <c r="J28" s="142">
        <v>0</v>
      </c>
      <c r="K28" s="138"/>
      <c r="L28" s="10" t="s">
        <v>389</v>
      </c>
      <c r="M28" s="131">
        <f t="shared" si="5"/>
        <v>20</v>
      </c>
      <c r="N28" s="25">
        <f t="shared" si="1"/>
        <v>0</v>
      </c>
      <c r="O28" s="25">
        <f t="shared" si="2"/>
        <v>0</v>
      </c>
      <c r="P28" s="25">
        <f t="shared" si="3"/>
        <v>0</v>
      </c>
      <c r="R28" s="10" t="s">
        <v>592</v>
      </c>
      <c r="S28" s="27">
        <v>0</v>
      </c>
      <c r="T28" s="94"/>
      <c r="U28" s="27">
        <v>0</v>
      </c>
      <c r="V28" s="94"/>
      <c r="W28" s="27">
        <v>0</v>
      </c>
      <c r="X28" s="94"/>
    </row>
    <row r="29" spans="2:24" ht="33.75">
      <c r="B29" s="10" t="s">
        <v>437</v>
      </c>
      <c r="C29" s="140">
        <v>21</v>
      </c>
      <c r="D29" s="141" t="s">
        <v>434</v>
      </c>
      <c r="E29" s="15"/>
      <c r="F29" s="142">
        <v>0</v>
      </c>
      <c r="G29" s="142"/>
      <c r="H29" s="142">
        <v>0</v>
      </c>
      <c r="I29" s="142"/>
      <c r="J29" s="142">
        <v>0</v>
      </c>
      <c r="K29" s="138"/>
      <c r="L29" s="10" t="s">
        <v>390</v>
      </c>
      <c r="M29" s="131">
        <f t="shared" si="5"/>
        <v>21</v>
      </c>
      <c r="N29" s="25">
        <f t="shared" si="1"/>
        <v>0</v>
      </c>
      <c r="O29" s="25">
        <f t="shared" si="2"/>
        <v>0</v>
      </c>
      <c r="P29" s="25">
        <f t="shared" si="3"/>
        <v>0</v>
      </c>
      <c r="R29" s="10" t="s">
        <v>593</v>
      </c>
      <c r="S29" s="27">
        <v>0</v>
      </c>
      <c r="T29" s="94"/>
      <c r="U29" s="27">
        <v>0</v>
      </c>
      <c r="V29" s="94"/>
      <c r="W29" s="27">
        <v>0</v>
      </c>
      <c r="X29" s="94"/>
    </row>
    <row r="30" spans="2:24" ht="22.5">
      <c r="B30" s="10" t="s">
        <v>438</v>
      </c>
      <c r="C30" s="140">
        <v>22</v>
      </c>
      <c r="D30" s="141" t="s">
        <v>434</v>
      </c>
      <c r="E30" s="15"/>
      <c r="F30" s="13">
        <v>0</v>
      </c>
      <c r="G30" s="13"/>
      <c r="H30" s="13">
        <v>0</v>
      </c>
      <c r="I30" s="13"/>
      <c r="J30" s="13">
        <v>0</v>
      </c>
      <c r="K30" s="138"/>
      <c r="L30" s="10" t="s">
        <v>391</v>
      </c>
      <c r="M30" s="131">
        <f t="shared" si="5"/>
        <v>22</v>
      </c>
      <c r="N30" s="27">
        <f t="shared" si="1"/>
        <v>0</v>
      </c>
      <c r="O30" s="27">
        <f t="shared" si="2"/>
        <v>0</v>
      </c>
      <c r="P30" s="27">
        <f t="shared" si="3"/>
        <v>0</v>
      </c>
      <c r="R30" s="10" t="s">
        <v>594</v>
      </c>
      <c r="S30" s="27">
        <v>0</v>
      </c>
      <c r="T30" s="94"/>
      <c r="U30" s="27">
        <v>0</v>
      </c>
      <c r="V30" s="94"/>
      <c r="W30" s="27">
        <v>0</v>
      </c>
      <c r="X30" s="94"/>
    </row>
    <row r="31" spans="2:24" ht="22.5">
      <c r="B31" s="10" t="s">
        <v>439</v>
      </c>
      <c r="C31" s="140">
        <v>23</v>
      </c>
      <c r="D31" s="141" t="s">
        <v>434</v>
      </c>
      <c r="E31" s="15"/>
      <c r="F31" s="13">
        <v>51634</v>
      </c>
      <c r="G31" s="13"/>
      <c r="H31" s="13">
        <v>0</v>
      </c>
      <c r="I31" s="13"/>
      <c r="J31" s="13">
        <v>50127</v>
      </c>
      <c r="K31" s="138"/>
      <c r="L31" s="10" t="s">
        <v>392</v>
      </c>
      <c r="M31" s="131">
        <f t="shared" si="5"/>
        <v>23</v>
      </c>
      <c r="N31" s="27">
        <f t="shared" si="1"/>
        <v>51634</v>
      </c>
      <c r="O31" s="27">
        <f t="shared" si="2"/>
        <v>50127</v>
      </c>
      <c r="P31" s="27">
        <f t="shared" si="3"/>
        <v>-1507</v>
      </c>
      <c r="R31" s="10" t="s">
        <v>595</v>
      </c>
      <c r="S31" s="27">
        <v>2809.4564558496668</v>
      </c>
      <c r="T31" s="94">
        <v>1.3316384824098499E-4</v>
      </c>
      <c r="U31" s="27">
        <v>10378.693467336685</v>
      </c>
      <c r="V31" s="94">
        <v>5.5178677703912582E-4</v>
      </c>
      <c r="W31" s="27">
        <v>10077.804583835947</v>
      </c>
      <c r="X31" s="94">
        <v>6.5460991011000722E-4</v>
      </c>
    </row>
    <row r="32" spans="2:24" ht="12" thickBot="1">
      <c r="B32" s="191" t="s">
        <v>440</v>
      </c>
      <c r="C32" s="199">
        <v>24</v>
      </c>
      <c r="D32" s="200"/>
      <c r="E32" s="196"/>
      <c r="F32" s="201">
        <v>51634</v>
      </c>
      <c r="G32" s="202"/>
      <c r="H32" s="201">
        <v>0</v>
      </c>
      <c r="I32" s="201"/>
      <c r="J32" s="201">
        <v>50127</v>
      </c>
      <c r="K32" s="138"/>
      <c r="L32" s="191" t="s">
        <v>118</v>
      </c>
      <c r="M32" s="192">
        <f t="shared" si="5"/>
        <v>24</v>
      </c>
      <c r="N32" s="203">
        <f t="shared" si="1"/>
        <v>51634</v>
      </c>
      <c r="O32" s="203">
        <f t="shared" si="2"/>
        <v>50127</v>
      </c>
      <c r="P32" s="203">
        <f t="shared" si="3"/>
        <v>-1507</v>
      </c>
      <c r="R32" s="191" t="s">
        <v>220</v>
      </c>
      <c r="S32" s="204">
        <v>2809.4564558496668</v>
      </c>
      <c r="T32" s="205">
        <v>1.3316384824098499E-4</v>
      </c>
      <c r="U32" s="204">
        <v>10378.693467336685</v>
      </c>
      <c r="V32" s="205">
        <v>5.5178677703912582E-4</v>
      </c>
      <c r="W32" s="204">
        <v>10077.804583835947</v>
      </c>
      <c r="X32" s="205">
        <v>6.5460991011000722E-4</v>
      </c>
    </row>
    <row r="33" spans="2:24" ht="23.25" thickBot="1">
      <c r="B33" s="191" t="s">
        <v>441</v>
      </c>
      <c r="C33" s="199">
        <v>25</v>
      </c>
      <c r="D33" s="200"/>
      <c r="E33" s="196"/>
      <c r="F33" s="201">
        <v>36946727</v>
      </c>
      <c r="G33" s="202"/>
      <c r="H33" s="201">
        <v>0</v>
      </c>
      <c r="I33" s="201"/>
      <c r="J33" s="201">
        <v>25913365</v>
      </c>
      <c r="K33" s="138"/>
      <c r="L33" s="191" t="s">
        <v>119</v>
      </c>
      <c r="M33" s="192">
        <f t="shared" si="5"/>
        <v>25</v>
      </c>
      <c r="N33" s="203">
        <f t="shared" si="1"/>
        <v>36946727</v>
      </c>
      <c r="O33" s="203">
        <f t="shared" si="2"/>
        <v>25913365</v>
      </c>
      <c r="P33" s="203">
        <f t="shared" si="3"/>
        <v>-11033362</v>
      </c>
      <c r="R33" s="191" t="s">
        <v>236</v>
      </c>
      <c r="S33" s="204">
        <v>9583463.932107497</v>
      </c>
      <c r="T33" s="205">
        <v>0.45424122307393522</v>
      </c>
      <c r="U33" s="204">
        <v>7426477.7889447249</v>
      </c>
      <c r="V33" s="205">
        <v>0.39483122387330927</v>
      </c>
      <c r="W33" s="204">
        <v>5209763.7716123834</v>
      </c>
      <c r="X33" s="205">
        <v>0.3384033661160214</v>
      </c>
    </row>
    <row r="34" spans="2:24">
      <c r="B34" s="139" t="s">
        <v>442</v>
      </c>
      <c r="C34" s="140"/>
      <c r="D34" s="141"/>
      <c r="E34" s="32"/>
      <c r="F34" s="13"/>
      <c r="G34" s="13"/>
      <c r="H34" s="13"/>
      <c r="I34" s="13"/>
      <c r="J34" s="13"/>
      <c r="K34" s="138"/>
      <c r="L34" s="5" t="s">
        <v>120</v>
      </c>
      <c r="M34" s="131"/>
      <c r="N34" s="27"/>
      <c r="O34" s="27"/>
      <c r="P34" s="27"/>
      <c r="R34" s="5" t="s">
        <v>120</v>
      </c>
      <c r="S34" s="27">
        <v>0</v>
      </c>
      <c r="T34" s="94"/>
      <c r="U34" s="27">
        <v>0</v>
      </c>
      <c r="V34" s="94"/>
      <c r="W34" s="27">
        <v>0</v>
      </c>
      <c r="X34" s="94"/>
    </row>
    <row r="35" spans="2:24">
      <c r="B35" s="139" t="s">
        <v>443</v>
      </c>
      <c r="C35" s="140"/>
      <c r="D35" s="141"/>
      <c r="E35" s="32"/>
      <c r="F35" s="13"/>
      <c r="G35" s="13"/>
      <c r="H35" s="13"/>
      <c r="I35" s="13"/>
      <c r="J35" s="13"/>
      <c r="K35" s="138"/>
      <c r="L35" s="5" t="s">
        <v>121</v>
      </c>
      <c r="M35" s="131"/>
      <c r="N35" s="27"/>
      <c r="O35" s="27"/>
      <c r="P35" s="27"/>
      <c r="R35" s="5" t="s">
        <v>121</v>
      </c>
      <c r="S35" s="27">
        <v>0</v>
      </c>
      <c r="T35" s="94"/>
      <c r="U35" s="27">
        <v>0</v>
      </c>
      <c r="V35" s="94"/>
      <c r="W35" s="27">
        <v>0</v>
      </c>
      <c r="X35" s="94"/>
    </row>
    <row r="36" spans="2:24" ht="45">
      <c r="B36" s="28" t="s">
        <v>444</v>
      </c>
      <c r="C36" s="140">
        <v>26</v>
      </c>
      <c r="D36" s="141" t="s">
        <v>445</v>
      </c>
      <c r="E36" s="15"/>
      <c r="F36" s="142">
        <v>662608</v>
      </c>
      <c r="G36" s="142"/>
      <c r="H36" s="142">
        <v>0</v>
      </c>
      <c r="I36" s="142"/>
      <c r="J36" s="142">
        <v>702683</v>
      </c>
      <c r="K36" s="138"/>
      <c r="L36" s="28" t="s">
        <v>393</v>
      </c>
      <c r="M36" s="131">
        <f>C36</f>
        <v>26</v>
      </c>
      <c r="N36" s="25">
        <f t="shared" si="1"/>
        <v>662608</v>
      </c>
      <c r="O36" s="25">
        <f t="shared" si="2"/>
        <v>702683</v>
      </c>
      <c r="P36" s="25">
        <f t="shared" si="3"/>
        <v>40075</v>
      </c>
      <c r="R36" s="28" t="s">
        <v>596</v>
      </c>
      <c r="S36" s="27">
        <v>144370.78197615681</v>
      </c>
      <c r="T36" s="94">
        <v>6.8429495895821063E-3</v>
      </c>
      <c r="U36" s="27">
        <v>133187.53768844221</v>
      </c>
      <c r="V36" s="94">
        <v>7.080960854482338E-3</v>
      </c>
      <c r="W36" s="27">
        <v>141271.21029352632</v>
      </c>
      <c r="X36" s="94">
        <v>9.1763571621248062E-3</v>
      </c>
    </row>
    <row r="37" spans="2:24" ht="22.5">
      <c r="B37" s="28" t="s">
        <v>446</v>
      </c>
      <c r="C37" s="140">
        <v>27</v>
      </c>
      <c r="D37" s="141" t="s">
        <v>445</v>
      </c>
      <c r="E37" s="15"/>
      <c r="F37" s="142">
        <v>0</v>
      </c>
      <c r="G37" s="142"/>
      <c r="H37" s="142">
        <v>0</v>
      </c>
      <c r="I37" s="142"/>
      <c r="J37" s="142">
        <v>0</v>
      </c>
      <c r="K37" s="138"/>
      <c r="L37" s="28" t="s">
        <v>394</v>
      </c>
      <c r="M37" s="131">
        <f>C37</f>
        <v>27</v>
      </c>
      <c r="N37" s="25">
        <f t="shared" si="1"/>
        <v>0</v>
      </c>
      <c r="O37" s="25">
        <f t="shared" si="2"/>
        <v>0</v>
      </c>
      <c r="P37" s="25">
        <f t="shared" si="3"/>
        <v>0</v>
      </c>
      <c r="R37" s="28" t="s">
        <v>597</v>
      </c>
      <c r="S37" s="27">
        <v>0</v>
      </c>
      <c r="T37" s="94"/>
      <c r="U37" s="27">
        <v>0</v>
      </c>
      <c r="V37" s="94"/>
      <c r="W37" s="27">
        <v>0</v>
      </c>
      <c r="X37" s="94"/>
    </row>
    <row r="38" spans="2:24" ht="56.25">
      <c r="B38" s="28" t="s">
        <v>447</v>
      </c>
      <c r="C38" s="140">
        <v>28</v>
      </c>
      <c r="D38" s="141" t="s">
        <v>445</v>
      </c>
      <c r="E38" s="15"/>
      <c r="F38" s="142">
        <v>0</v>
      </c>
      <c r="G38" s="142"/>
      <c r="H38" s="142">
        <v>0</v>
      </c>
      <c r="I38" s="142"/>
      <c r="J38" s="142">
        <v>0</v>
      </c>
      <c r="K38" s="138"/>
      <c r="L38" s="28" t="s">
        <v>395</v>
      </c>
      <c r="M38" s="131">
        <f>C38</f>
        <v>28</v>
      </c>
      <c r="N38" s="25">
        <f t="shared" si="1"/>
        <v>0</v>
      </c>
      <c r="O38" s="25">
        <f t="shared" si="2"/>
        <v>0</v>
      </c>
      <c r="P38" s="25">
        <f t="shared" si="3"/>
        <v>0</v>
      </c>
      <c r="R38" s="28" t="s">
        <v>598</v>
      </c>
      <c r="S38" s="27">
        <v>0</v>
      </c>
      <c r="T38" s="94"/>
      <c r="U38" s="27">
        <v>0</v>
      </c>
      <c r="V38" s="94"/>
      <c r="W38" s="27">
        <v>0</v>
      </c>
      <c r="X38" s="94"/>
    </row>
    <row r="39" spans="2:24">
      <c r="B39" s="28" t="s">
        <v>448</v>
      </c>
      <c r="C39" s="140">
        <v>29</v>
      </c>
      <c r="D39" s="141" t="s">
        <v>445</v>
      </c>
      <c r="E39" s="15"/>
      <c r="F39" s="142">
        <v>0</v>
      </c>
      <c r="G39" s="142"/>
      <c r="H39" s="142">
        <v>0</v>
      </c>
      <c r="I39" s="142"/>
      <c r="J39" s="142">
        <v>0</v>
      </c>
      <c r="K39" s="138"/>
      <c r="L39" s="15" t="s">
        <v>396</v>
      </c>
      <c r="M39" s="131">
        <f>C39</f>
        <v>29</v>
      </c>
      <c r="N39" s="25">
        <f t="shared" si="1"/>
        <v>0</v>
      </c>
      <c r="O39" s="25">
        <f t="shared" si="2"/>
        <v>0</v>
      </c>
      <c r="P39" s="25">
        <f t="shared" si="3"/>
        <v>0</v>
      </c>
      <c r="R39" s="15" t="s">
        <v>599</v>
      </c>
      <c r="S39" s="27">
        <v>0</v>
      </c>
      <c r="T39" s="94"/>
      <c r="U39" s="27">
        <v>0</v>
      </c>
      <c r="V39" s="94"/>
      <c r="W39" s="27">
        <v>0</v>
      </c>
      <c r="X39" s="94"/>
    </row>
    <row r="40" spans="2:24" ht="12" thickBot="1">
      <c r="B40" s="191" t="s">
        <v>449</v>
      </c>
      <c r="C40" s="199">
        <v>30</v>
      </c>
      <c r="D40" s="200"/>
      <c r="E40" s="194"/>
      <c r="F40" s="201">
        <v>662608</v>
      </c>
      <c r="G40" s="202"/>
      <c r="H40" s="201">
        <v>0</v>
      </c>
      <c r="I40" s="201"/>
      <c r="J40" s="201">
        <v>702683</v>
      </c>
      <c r="K40" s="138"/>
      <c r="L40" s="191" t="s">
        <v>126</v>
      </c>
      <c r="M40" s="192">
        <f>C40</f>
        <v>30</v>
      </c>
      <c r="N40" s="203">
        <f t="shared" si="1"/>
        <v>662608</v>
      </c>
      <c r="O40" s="203">
        <f t="shared" si="2"/>
        <v>702683</v>
      </c>
      <c r="P40" s="203">
        <f t="shared" si="3"/>
        <v>40075</v>
      </c>
      <c r="R40" s="191" t="s">
        <v>220</v>
      </c>
      <c r="S40" s="204">
        <v>144370.78197615681</v>
      </c>
      <c r="T40" s="205">
        <v>6.8429495895821063E-3</v>
      </c>
      <c r="U40" s="204">
        <v>133187.53768844221</v>
      </c>
      <c r="V40" s="205">
        <v>7.080960854482338E-3</v>
      </c>
      <c r="W40" s="204">
        <v>141271.21029352632</v>
      </c>
      <c r="X40" s="205">
        <v>9.1763571621248062E-3</v>
      </c>
    </row>
    <row r="41" spans="2:24">
      <c r="B41" s="139" t="s">
        <v>450</v>
      </c>
      <c r="C41" s="140"/>
      <c r="D41" s="141"/>
      <c r="E41" s="15"/>
      <c r="F41" s="13"/>
      <c r="G41" s="13"/>
      <c r="H41" s="13"/>
      <c r="I41" s="13"/>
      <c r="J41" s="13"/>
      <c r="K41" s="138"/>
      <c r="L41" s="5" t="s">
        <v>127</v>
      </c>
      <c r="M41" s="131"/>
      <c r="N41" s="27"/>
      <c r="O41" s="27"/>
      <c r="P41" s="27"/>
      <c r="R41" s="5" t="s">
        <v>127</v>
      </c>
      <c r="S41" s="27">
        <v>0</v>
      </c>
      <c r="T41" s="94"/>
      <c r="U41" s="27">
        <v>0</v>
      </c>
      <c r="V41" s="94"/>
      <c r="W41" s="27">
        <v>0</v>
      </c>
      <c r="X41" s="94"/>
    </row>
    <row r="42" spans="2:24" ht="33.75">
      <c r="B42" s="28" t="s">
        <v>451</v>
      </c>
      <c r="C42" s="140">
        <v>31</v>
      </c>
      <c r="D42" s="141" t="s">
        <v>452</v>
      </c>
      <c r="E42" s="15"/>
      <c r="F42" s="142">
        <v>28740852</v>
      </c>
      <c r="G42" s="13"/>
      <c r="H42" s="13">
        <v>0</v>
      </c>
      <c r="I42" s="13"/>
      <c r="J42" s="13">
        <v>25126157</v>
      </c>
      <c r="K42" s="138"/>
      <c r="L42" s="28" t="s">
        <v>397</v>
      </c>
      <c r="M42" s="131">
        <f t="shared" ref="M42:M48" si="6">C42</f>
        <v>31</v>
      </c>
      <c r="N42" s="27">
        <f>F42</f>
        <v>28740852</v>
      </c>
      <c r="O42" s="27">
        <f>J42</f>
        <v>25126157</v>
      </c>
      <c r="P42" s="27">
        <f t="shared" si="3"/>
        <v>-3614695</v>
      </c>
      <c r="R42" s="28" t="s">
        <v>600</v>
      </c>
      <c r="S42" s="27">
        <v>6410442.7157001421</v>
      </c>
      <c r="T42" s="94">
        <v>0.30384497299241975</v>
      </c>
      <c r="U42" s="27">
        <v>5777055.6783919604</v>
      </c>
      <c r="V42" s="94">
        <v>0.30713913495833195</v>
      </c>
      <c r="W42" s="27">
        <v>5051499.1958182547</v>
      </c>
      <c r="X42" s="94">
        <v>0.32812319458934164</v>
      </c>
    </row>
    <row r="43" spans="2:24" ht="22.5">
      <c r="B43" s="28" t="s">
        <v>453</v>
      </c>
      <c r="C43" s="140">
        <v>32</v>
      </c>
      <c r="D43" s="141" t="s">
        <v>452</v>
      </c>
      <c r="E43" s="15"/>
      <c r="F43" s="142">
        <v>19786246</v>
      </c>
      <c r="G43" s="13"/>
      <c r="H43" s="13">
        <v>0</v>
      </c>
      <c r="I43" s="13"/>
      <c r="J43" s="13">
        <v>6860383</v>
      </c>
      <c r="K43" s="138"/>
      <c r="L43" s="10" t="s">
        <v>398</v>
      </c>
      <c r="M43" s="131">
        <f t="shared" si="6"/>
        <v>32</v>
      </c>
      <c r="N43" s="27">
        <f t="shared" si="1"/>
        <v>19786246</v>
      </c>
      <c r="O43" s="27">
        <f t="shared" si="2"/>
        <v>6860383</v>
      </c>
      <c r="P43" s="27">
        <f t="shared" si="3"/>
        <v>-12925863</v>
      </c>
      <c r="R43" s="10" t="s">
        <v>601</v>
      </c>
      <c r="S43" s="27">
        <v>508999.7979389776</v>
      </c>
      <c r="T43" s="94">
        <v>2.4125795474177991E-2</v>
      </c>
      <c r="U43" s="27">
        <v>3977135.2763819098</v>
      </c>
      <c r="V43" s="94">
        <v>0.21144575306226224</v>
      </c>
      <c r="W43" s="27">
        <v>1379248.6932046642</v>
      </c>
      <c r="X43" s="94">
        <v>8.9589935542725901E-2</v>
      </c>
    </row>
    <row r="44" spans="2:24" ht="22.5">
      <c r="B44" s="28" t="s">
        <v>454</v>
      </c>
      <c r="C44" s="140">
        <v>33</v>
      </c>
      <c r="D44" s="141" t="s">
        <v>452</v>
      </c>
      <c r="E44" s="15"/>
      <c r="F44" s="13">
        <v>0</v>
      </c>
      <c r="G44" s="13"/>
      <c r="H44" s="13">
        <v>0</v>
      </c>
      <c r="I44" s="13"/>
      <c r="J44" s="13">
        <v>0</v>
      </c>
      <c r="K44" s="138"/>
      <c r="L44" s="10" t="s">
        <v>399</v>
      </c>
      <c r="M44" s="131">
        <f t="shared" si="6"/>
        <v>33</v>
      </c>
      <c r="N44" s="27">
        <f t="shared" si="1"/>
        <v>0</v>
      </c>
      <c r="O44" s="27">
        <f t="shared" si="2"/>
        <v>0</v>
      </c>
      <c r="P44" s="27">
        <f t="shared" si="3"/>
        <v>0</v>
      </c>
      <c r="R44" s="10" t="s">
        <v>602</v>
      </c>
      <c r="S44" s="27">
        <v>0</v>
      </c>
      <c r="T44" s="94"/>
      <c r="U44" s="27">
        <v>0</v>
      </c>
      <c r="V44" s="94"/>
      <c r="W44" s="27">
        <v>0</v>
      </c>
      <c r="X44" s="94"/>
    </row>
    <row r="45" spans="2:24" ht="45">
      <c r="B45" s="28" t="s">
        <v>455</v>
      </c>
      <c r="C45" s="140">
        <v>34</v>
      </c>
      <c r="D45" s="141" t="s">
        <v>452</v>
      </c>
      <c r="E45" s="15"/>
      <c r="F45" s="13">
        <v>1165551</v>
      </c>
      <c r="G45" s="13"/>
      <c r="H45" s="13">
        <v>0</v>
      </c>
      <c r="I45" s="13"/>
      <c r="J45" s="13">
        <v>1601891</v>
      </c>
      <c r="K45" s="138"/>
      <c r="L45" s="28" t="s">
        <v>400</v>
      </c>
      <c r="M45" s="131">
        <f t="shared" si="6"/>
        <v>34</v>
      </c>
      <c r="N45" s="27">
        <f t="shared" si="1"/>
        <v>1165551</v>
      </c>
      <c r="O45" s="27">
        <f t="shared" si="2"/>
        <v>1601891</v>
      </c>
      <c r="P45" s="27">
        <f t="shared" si="3"/>
        <v>436340</v>
      </c>
      <c r="R45" s="28" t="s">
        <v>603</v>
      </c>
      <c r="S45" s="27">
        <v>982636.69428167306</v>
      </c>
      <c r="T45" s="94">
        <v>4.6575444641933153E-2</v>
      </c>
      <c r="U45" s="27">
        <v>234281.60804020101</v>
      </c>
      <c r="V45" s="94">
        <v>1.2455661575022854E-2</v>
      </c>
      <c r="W45" s="27">
        <v>322052.87494973862</v>
      </c>
      <c r="X45" s="94">
        <v>2.0919139855088666E-2</v>
      </c>
    </row>
    <row r="46" spans="2:24">
      <c r="B46" s="28" t="s">
        <v>456</v>
      </c>
      <c r="C46" s="140">
        <v>35</v>
      </c>
      <c r="D46" s="141" t="s">
        <v>452</v>
      </c>
      <c r="E46" s="15"/>
      <c r="F46" s="13">
        <v>0</v>
      </c>
      <c r="G46" s="13"/>
      <c r="H46" s="13">
        <v>0</v>
      </c>
      <c r="I46" s="13"/>
      <c r="J46" s="13">
        <v>0</v>
      </c>
      <c r="K46" s="138"/>
      <c r="L46" s="15" t="s">
        <v>401</v>
      </c>
      <c r="M46" s="131">
        <f t="shared" si="6"/>
        <v>35</v>
      </c>
      <c r="N46" s="27">
        <f t="shared" si="1"/>
        <v>0</v>
      </c>
      <c r="O46" s="27">
        <f t="shared" si="2"/>
        <v>0</v>
      </c>
      <c r="P46" s="27">
        <f t="shared" si="3"/>
        <v>0</v>
      </c>
      <c r="R46" s="15" t="s">
        <v>604</v>
      </c>
      <c r="S46" s="27">
        <v>0</v>
      </c>
      <c r="T46" s="94"/>
      <c r="U46" s="27">
        <v>0</v>
      </c>
      <c r="V46" s="94"/>
      <c r="W46" s="27">
        <v>0</v>
      </c>
      <c r="X46" s="94"/>
    </row>
    <row r="47" spans="2:24" ht="22.5">
      <c r="B47" s="28" t="s">
        <v>457</v>
      </c>
      <c r="C47" s="140">
        <v>36</v>
      </c>
      <c r="D47" s="141"/>
      <c r="E47" s="15"/>
      <c r="F47" s="13">
        <v>0</v>
      </c>
      <c r="G47" s="13"/>
      <c r="H47" s="13">
        <v>0</v>
      </c>
      <c r="I47" s="13"/>
      <c r="J47" s="13">
        <v>0</v>
      </c>
      <c r="K47" s="138"/>
      <c r="L47" s="15" t="s">
        <v>402</v>
      </c>
      <c r="M47" s="131">
        <f t="shared" si="6"/>
        <v>36</v>
      </c>
      <c r="N47" s="27">
        <f t="shared" si="1"/>
        <v>0</v>
      </c>
      <c r="O47" s="27">
        <f t="shared" si="2"/>
        <v>0</v>
      </c>
      <c r="P47" s="27">
        <f t="shared" si="3"/>
        <v>0</v>
      </c>
      <c r="R47" s="15" t="s">
        <v>605</v>
      </c>
      <c r="S47" s="27">
        <v>0</v>
      </c>
      <c r="T47" s="94"/>
      <c r="U47" s="27">
        <v>0</v>
      </c>
      <c r="V47" s="94"/>
      <c r="W47" s="27">
        <v>0</v>
      </c>
      <c r="X47" s="94"/>
    </row>
    <row r="48" spans="2:24" ht="12" thickBot="1">
      <c r="B48" s="191" t="s">
        <v>458</v>
      </c>
      <c r="C48" s="199">
        <v>37</v>
      </c>
      <c r="D48" s="200"/>
      <c r="E48" s="194"/>
      <c r="F48" s="201">
        <v>49692651</v>
      </c>
      <c r="G48" s="202"/>
      <c r="H48" s="201">
        <v>0</v>
      </c>
      <c r="I48" s="201"/>
      <c r="J48" s="201">
        <v>33588431</v>
      </c>
      <c r="K48" s="138"/>
      <c r="L48" s="191" t="s">
        <v>134</v>
      </c>
      <c r="M48" s="192">
        <f t="shared" si="6"/>
        <v>37</v>
      </c>
      <c r="N48" s="203">
        <f t="shared" si="1"/>
        <v>49692651</v>
      </c>
      <c r="O48" s="203">
        <f t="shared" si="2"/>
        <v>33588431</v>
      </c>
      <c r="P48" s="203">
        <f t="shared" si="3"/>
        <v>-16104220</v>
      </c>
      <c r="R48" s="191" t="s">
        <v>220</v>
      </c>
      <c r="S48" s="204">
        <v>7902079.2079207925</v>
      </c>
      <c r="T48" s="205">
        <v>0.37454621310853092</v>
      </c>
      <c r="U48" s="204">
        <v>9988472.5628140699</v>
      </c>
      <c r="V48" s="205">
        <v>0.53104054959561697</v>
      </c>
      <c r="W48" s="204">
        <v>6752800.7639726568</v>
      </c>
      <c r="X48" s="205">
        <v>0.43863226998715615</v>
      </c>
    </row>
    <row r="49" spans="2:24">
      <c r="B49" s="139" t="s">
        <v>459</v>
      </c>
      <c r="C49" s="140"/>
      <c r="D49" s="141"/>
      <c r="E49" s="15"/>
      <c r="F49" s="13"/>
      <c r="G49" s="13"/>
      <c r="H49" s="13"/>
      <c r="I49" s="13"/>
      <c r="J49" s="13"/>
      <c r="K49" s="138"/>
      <c r="L49" s="5" t="s">
        <v>135</v>
      </c>
      <c r="M49" s="131"/>
      <c r="N49" s="27"/>
      <c r="O49" s="27"/>
      <c r="P49" s="27"/>
      <c r="R49" s="5" t="s">
        <v>135</v>
      </c>
      <c r="S49" s="27">
        <v>0</v>
      </c>
      <c r="T49" s="94"/>
      <c r="U49" s="27">
        <v>0</v>
      </c>
      <c r="V49" s="94"/>
      <c r="W49" s="27">
        <v>0</v>
      </c>
      <c r="X49" s="94"/>
    </row>
    <row r="50" spans="2:24" ht="22.5">
      <c r="B50" s="28" t="s">
        <v>460</v>
      </c>
      <c r="C50" s="140">
        <v>38</v>
      </c>
      <c r="D50" s="141" t="s">
        <v>461</v>
      </c>
      <c r="E50" s="15"/>
      <c r="F50" s="142">
        <v>0</v>
      </c>
      <c r="G50" s="142"/>
      <c r="H50" s="142">
        <v>0</v>
      </c>
      <c r="I50" s="142"/>
      <c r="J50" s="142">
        <v>0</v>
      </c>
      <c r="K50" s="138"/>
      <c r="L50" s="10" t="s">
        <v>403</v>
      </c>
      <c r="M50" s="131">
        <f t="shared" ref="M50:M57" si="7">C50</f>
        <v>38</v>
      </c>
      <c r="N50" s="25">
        <f t="shared" si="1"/>
        <v>0</v>
      </c>
      <c r="O50" s="25">
        <f t="shared" si="2"/>
        <v>0</v>
      </c>
      <c r="P50" s="25">
        <f t="shared" si="3"/>
        <v>0</v>
      </c>
      <c r="R50" s="10" t="s">
        <v>606</v>
      </c>
      <c r="S50" s="27">
        <v>0</v>
      </c>
      <c r="T50" s="94"/>
      <c r="U50" s="27">
        <v>0</v>
      </c>
      <c r="V50" s="94"/>
      <c r="W50" s="27">
        <v>0</v>
      </c>
      <c r="X50" s="94"/>
    </row>
    <row r="51" spans="2:24" ht="33.75">
      <c r="B51" s="28" t="s">
        <v>462</v>
      </c>
      <c r="C51" s="140">
        <v>39</v>
      </c>
      <c r="D51" s="141" t="s">
        <v>461</v>
      </c>
      <c r="E51" s="15"/>
      <c r="F51" s="142">
        <v>0</v>
      </c>
      <c r="G51" s="142"/>
      <c r="H51" s="142">
        <v>0</v>
      </c>
      <c r="I51" s="142"/>
      <c r="J51" s="142">
        <v>0</v>
      </c>
      <c r="K51" s="138"/>
      <c r="L51" s="28" t="s">
        <v>404</v>
      </c>
      <c r="M51" s="131">
        <f t="shared" si="7"/>
        <v>39</v>
      </c>
      <c r="N51" s="25">
        <f t="shared" si="1"/>
        <v>0</v>
      </c>
      <c r="O51" s="25">
        <f t="shared" si="2"/>
        <v>0</v>
      </c>
      <c r="P51" s="25">
        <f t="shared" si="3"/>
        <v>0</v>
      </c>
      <c r="R51" s="28" t="s">
        <v>607</v>
      </c>
      <c r="S51" s="27">
        <v>0</v>
      </c>
      <c r="T51" s="94"/>
      <c r="U51" s="27">
        <v>0</v>
      </c>
      <c r="V51" s="94"/>
      <c r="W51" s="27">
        <v>0</v>
      </c>
      <c r="X51" s="94"/>
    </row>
    <row r="52" spans="2:24" ht="12" thickBot="1">
      <c r="B52" s="5" t="s">
        <v>463</v>
      </c>
      <c r="C52" s="140">
        <v>40</v>
      </c>
      <c r="D52" s="141"/>
      <c r="E52" s="15"/>
      <c r="F52" s="19">
        <v>0</v>
      </c>
      <c r="G52" s="13"/>
      <c r="H52" s="19">
        <v>0</v>
      </c>
      <c r="I52" s="19"/>
      <c r="J52" s="19">
        <v>0</v>
      </c>
      <c r="K52" s="138"/>
      <c r="L52" s="5" t="s">
        <v>138</v>
      </c>
      <c r="M52" s="131">
        <f t="shared" si="7"/>
        <v>40</v>
      </c>
      <c r="N52" s="26">
        <f t="shared" si="1"/>
        <v>0</v>
      </c>
      <c r="O52" s="26">
        <f t="shared" si="2"/>
        <v>0</v>
      </c>
      <c r="P52" s="26">
        <f t="shared" si="3"/>
        <v>0</v>
      </c>
      <c r="R52" s="5" t="s">
        <v>220</v>
      </c>
      <c r="S52" s="27">
        <v>0</v>
      </c>
      <c r="T52" s="94"/>
      <c r="U52" s="27">
        <v>0</v>
      </c>
      <c r="V52" s="94"/>
      <c r="W52" s="27">
        <v>0</v>
      </c>
      <c r="X52" s="94"/>
    </row>
    <row r="53" spans="2:24" ht="34.5" thickBot="1">
      <c r="B53" s="5" t="s">
        <v>464</v>
      </c>
      <c r="C53" s="140">
        <v>41</v>
      </c>
      <c r="D53" s="141" t="s">
        <v>465</v>
      </c>
      <c r="E53" s="15"/>
      <c r="F53" s="143">
        <v>5409137</v>
      </c>
      <c r="G53" s="13"/>
      <c r="H53" s="143">
        <v>0</v>
      </c>
      <c r="I53" s="143"/>
      <c r="J53" s="143">
        <v>15400127</v>
      </c>
      <c r="K53" s="138"/>
      <c r="L53" s="5" t="s">
        <v>139</v>
      </c>
      <c r="M53" s="131">
        <f t="shared" si="7"/>
        <v>41</v>
      </c>
      <c r="N53" s="132">
        <f t="shared" si="1"/>
        <v>5409137</v>
      </c>
      <c r="O53" s="132">
        <f>N53*1.17</f>
        <v>6328690.29</v>
      </c>
      <c r="P53" s="132">
        <f t="shared" si="3"/>
        <v>919553.29</v>
      </c>
      <c r="R53" s="5" t="s">
        <v>249</v>
      </c>
      <c r="S53" s="29">
        <v>3309318.044049303</v>
      </c>
      <c r="T53" s="92">
        <v>0.15685650684543495</v>
      </c>
      <c r="U53" s="29">
        <v>1087263.7185929648</v>
      </c>
      <c r="V53" s="92">
        <v>5.7804746325930301E-2</v>
      </c>
      <c r="W53" s="29">
        <v>1272354.3003618817</v>
      </c>
      <c r="X53" s="92">
        <v>8.2646545411673863E-2</v>
      </c>
    </row>
    <row r="54" spans="2:24" ht="23.25" thickBot="1">
      <c r="B54" s="191" t="s">
        <v>466</v>
      </c>
      <c r="C54" s="199">
        <v>42</v>
      </c>
      <c r="D54" s="200"/>
      <c r="E54" s="194"/>
      <c r="F54" s="201">
        <v>55764396</v>
      </c>
      <c r="G54" s="202"/>
      <c r="H54" s="201">
        <v>0</v>
      </c>
      <c r="I54" s="201"/>
      <c r="J54" s="201">
        <v>49691241</v>
      </c>
      <c r="K54" s="138"/>
      <c r="L54" s="191" t="s">
        <v>140</v>
      </c>
      <c r="M54" s="192">
        <f t="shared" si="7"/>
        <v>42</v>
      </c>
      <c r="N54" s="203">
        <f t="shared" si="1"/>
        <v>55764396</v>
      </c>
      <c r="O54" s="203">
        <f t="shared" si="2"/>
        <v>49691241</v>
      </c>
      <c r="P54" s="203">
        <f t="shared" si="3"/>
        <v>-6073155</v>
      </c>
      <c r="R54" s="191" t="s">
        <v>250</v>
      </c>
      <c r="S54" s="204">
        <v>11355768.033946251</v>
      </c>
      <c r="T54" s="205">
        <v>0.53824566954354791</v>
      </c>
      <c r="U54" s="204">
        <v>11208923.819095476</v>
      </c>
      <c r="V54" s="205">
        <v>0.59592625677602951</v>
      </c>
      <c r="W54" s="204">
        <v>9990197.2255729791</v>
      </c>
      <c r="X54" s="205">
        <v>0.64891932100992888</v>
      </c>
    </row>
    <row r="55" spans="2:24" ht="23.25" thickBot="1">
      <c r="B55" s="191" t="s">
        <v>467</v>
      </c>
      <c r="C55" s="199">
        <v>43</v>
      </c>
      <c r="D55" s="200" t="s">
        <v>468</v>
      </c>
      <c r="E55" s="196"/>
      <c r="F55" s="198">
        <v>864878</v>
      </c>
      <c r="G55" s="189"/>
      <c r="H55" s="198">
        <v>0</v>
      </c>
      <c r="I55" s="198"/>
      <c r="J55" s="198">
        <v>970770</v>
      </c>
      <c r="K55" s="138"/>
      <c r="L55" s="191" t="s">
        <v>141</v>
      </c>
      <c r="M55" s="192">
        <f t="shared" si="7"/>
        <v>43</v>
      </c>
      <c r="N55" s="203">
        <f>F55</f>
        <v>864878</v>
      </c>
      <c r="O55" s="203">
        <f t="shared" si="2"/>
        <v>970770</v>
      </c>
      <c r="P55" s="203">
        <f t="shared" si="3"/>
        <v>105892</v>
      </c>
      <c r="R55" s="191" t="s">
        <v>251</v>
      </c>
      <c r="S55" s="204">
        <v>158509.59789856538</v>
      </c>
      <c r="T55" s="205">
        <v>7.5131073825169762E-3</v>
      </c>
      <c r="U55" s="204">
        <v>173844.82412060304</v>
      </c>
      <c r="V55" s="205">
        <v>9.2425193506612893E-3</v>
      </c>
      <c r="W55" s="204">
        <v>195168.87816646561</v>
      </c>
      <c r="X55" s="205">
        <v>1.2677312874049747E-2</v>
      </c>
    </row>
    <row r="56" spans="2:24" ht="22.5">
      <c r="B56" s="28" t="s">
        <v>469</v>
      </c>
      <c r="C56" s="140">
        <v>44</v>
      </c>
      <c r="D56" s="141"/>
      <c r="E56" s="32"/>
      <c r="F56" s="13">
        <v>864878</v>
      </c>
      <c r="G56" s="13"/>
      <c r="H56" s="13">
        <v>0</v>
      </c>
      <c r="I56" s="13"/>
      <c r="J56" s="13">
        <v>970770</v>
      </c>
      <c r="K56" s="138"/>
      <c r="L56" s="10" t="s">
        <v>142</v>
      </c>
      <c r="M56" s="131">
        <f t="shared" si="7"/>
        <v>44</v>
      </c>
      <c r="N56" s="13">
        <f t="shared" ref="N56:N57" si="8">F56</f>
        <v>864878</v>
      </c>
      <c r="O56" s="13">
        <f t="shared" ref="O56:O57" si="9">J56</f>
        <v>970770</v>
      </c>
      <c r="P56" s="13">
        <f t="shared" ref="P56:P57" si="10">O56-N56</f>
        <v>105892</v>
      </c>
      <c r="R56" s="10" t="s">
        <v>252</v>
      </c>
      <c r="S56" s="27">
        <v>158509.59789856538</v>
      </c>
      <c r="T56" s="94">
        <v>7.5131073825169762E-3</v>
      </c>
      <c r="U56" s="27">
        <v>173844.82412060304</v>
      </c>
      <c r="V56" s="94">
        <v>9.2425193506612893E-3</v>
      </c>
      <c r="W56" s="27">
        <v>0</v>
      </c>
      <c r="X56" s="94">
        <v>0</v>
      </c>
    </row>
    <row r="57" spans="2:24" ht="22.5">
      <c r="B57" s="28" t="s">
        <v>470</v>
      </c>
      <c r="C57" s="140">
        <v>45</v>
      </c>
      <c r="D57" s="141"/>
      <c r="E57" s="32"/>
      <c r="F57" s="13">
        <v>0</v>
      </c>
      <c r="G57" s="13"/>
      <c r="H57" s="13">
        <v>0</v>
      </c>
      <c r="I57" s="13"/>
      <c r="J57" s="13">
        <v>0</v>
      </c>
      <c r="K57" s="138"/>
      <c r="L57" s="10" t="s">
        <v>143</v>
      </c>
      <c r="M57" s="131">
        <f t="shared" si="7"/>
        <v>45</v>
      </c>
      <c r="N57" s="13">
        <f t="shared" si="8"/>
        <v>0</v>
      </c>
      <c r="O57" s="13">
        <f t="shared" si="9"/>
        <v>0</v>
      </c>
      <c r="P57" s="13">
        <f t="shared" si="10"/>
        <v>0</v>
      </c>
      <c r="R57" s="10" t="s">
        <v>253</v>
      </c>
      <c r="S57" s="27">
        <v>0</v>
      </c>
      <c r="T57" s="94"/>
      <c r="U57" s="27">
        <v>0</v>
      </c>
      <c r="V57" s="94"/>
      <c r="W57" s="27">
        <v>0</v>
      </c>
      <c r="X57" s="94"/>
    </row>
    <row r="58" spans="2:24">
      <c r="B58" s="28"/>
      <c r="C58" s="140"/>
      <c r="D58" s="141"/>
      <c r="E58" s="32"/>
      <c r="F58" s="13"/>
      <c r="G58" s="13"/>
      <c r="H58" s="13"/>
      <c r="I58" s="13"/>
      <c r="J58" s="13"/>
      <c r="K58" s="138"/>
      <c r="L58" s="10"/>
      <c r="M58" s="131"/>
      <c r="N58" s="29"/>
      <c r="O58" s="29"/>
      <c r="P58" s="29"/>
      <c r="R58" s="86" t="s">
        <v>207</v>
      </c>
      <c r="S58" s="87">
        <v>21097741.563952312</v>
      </c>
      <c r="T58" s="97">
        <v>1</v>
      </c>
      <c r="U58" s="87">
        <v>18809246.432160802</v>
      </c>
      <c r="V58" s="97">
        <v>1</v>
      </c>
      <c r="W58" s="87">
        <v>15395129.875351828</v>
      </c>
      <c r="X58" s="97">
        <v>1</v>
      </c>
    </row>
    <row r="59" spans="2:24">
      <c r="B59" s="28"/>
      <c r="C59" s="140"/>
      <c r="D59" s="141"/>
      <c r="E59" s="32"/>
      <c r="F59" s="13"/>
      <c r="G59" s="13"/>
      <c r="H59" s="13"/>
      <c r="I59" s="13"/>
      <c r="J59" s="13"/>
      <c r="K59" s="138"/>
      <c r="L59" s="10"/>
      <c r="M59" s="131"/>
      <c r="N59" s="29"/>
      <c r="O59" s="29"/>
      <c r="P59" s="29"/>
      <c r="R59" s="63" t="s">
        <v>206</v>
      </c>
      <c r="S59" s="27"/>
      <c r="T59" s="94"/>
      <c r="U59" s="99">
        <v>-0.10847109511008712</v>
      </c>
      <c r="V59" s="94"/>
      <c r="W59" s="99">
        <v>-0.18151267086231493</v>
      </c>
      <c r="X59" s="94"/>
    </row>
    <row r="60" spans="2:24" ht="33.75">
      <c r="B60" s="144" t="s">
        <v>471</v>
      </c>
      <c r="C60" s="140"/>
      <c r="D60" s="141"/>
      <c r="E60" s="32"/>
      <c r="F60" s="9"/>
      <c r="G60" s="9"/>
      <c r="H60" s="9"/>
      <c r="I60" s="9"/>
      <c r="J60" s="9"/>
      <c r="K60" s="138"/>
      <c r="L60" s="5" t="s">
        <v>144</v>
      </c>
      <c r="M60" s="131"/>
      <c r="N60" s="29"/>
      <c r="O60" s="29"/>
      <c r="P60" s="29"/>
      <c r="R60" s="5" t="s">
        <v>144</v>
      </c>
      <c r="S60" s="29">
        <v>0</v>
      </c>
      <c r="T60" s="92"/>
      <c r="U60" s="29">
        <v>0</v>
      </c>
      <c r="V60" s="92"/>
      <c r="W60" s="29">
        <v>0</v>
      </c>
      <c r="X60" s="92"/>
    </row>
    <row r="61" spans="2:24" ht="33.75">
      <c r="B61" s="28" t="s">
        <v>472</v>
      </c>
      <c r="C61" s="140">
        <v>46</v>
      </c>
      <c r="D61" s="141" t="s">
        <v>473</v>
      </c>
      <c r="E61" s="15"/>
      <c r="F61" s="13">
        <v>0</v>
      </c>
      <c r="G61" s="13"/>
      <c r="H61" s="13">
        <v>0</v>
      </c>
      <c r="I61" s="13"/>
      <c r="J61" s="13">
        <v>0</v>
      </c>
      <c r="K61" s="138"/>
      <c r="L61" s="28" t="s">
        <v>474</v>
      </c>
      <c r="M61" s="131">
        <f t="shared" ref="M61:M71" si="11">C61</f>
        <v>46</v>
      </c>
      <c r="N61" s="27">
        <f t="shared" si="1"/>
        <v>0</v>
      </c>
      <c r="O61" s="27">
        <f t="shared" si="2"/>
        <v>0</v>
      </c>
      <c r="P61" s="27">
        <f t="shared" si="3"/>
        <v>0</v>
      </c>
      <c r="R61" s="28" t="s">
        <v>608</v>
      </c>
      <c r="S61" s="27">
        <v>0</v>
      </c>
      <c r="T61" s="94"/>
      <c r="U61" s="27">
        <v>0</v>
      </c>
      <c r="V61" s="94"/>
      <c r="W61" s="27">
        <v>0</v>
      </c>
      <c r="X61" s="94"/>
    </row>
    <row r="62" spans="2:24" ht="33.75">
      <c r="B62" s="28" t="s">
        <v>475</v>
      </c>
      <c r="C62" s="140">
        <v>47</v>
      </c>
      <c r="D62" s="141" t="s">
        <v>473</v>
      </c>
      <c r="E62" s="15"/>
      <c r="F62" s="13">
        <v>15193916</v>
      </c>
      <c r="G62" s="13"/>
      <c r="H62" s="13">
        <v>0</v>
      </c>
      <c r="I62" s="13"/>
      <c r="J62" s="13">
        <v>15239101</v>
      </c>
      <c r="K62" s="138"/>
      <c r="L62" s="28" t="s">
        <v>476</v>
      </c>
      <c r="M62" s="131">
        <f t="shared" si="11"/>
        <v>47</v>
      </c>
      <c r="N62" s="27">
        <f t="shared" si="1"/>
        <v>15193916</v>
      </c>
      <c r="O62" s="27">
        <f t="shared" si="2"/>
        <v>15239101</v>
      </c>
      <c r="P62" s="27">
        <f t="shared" si="3"/>
        <v>45185</v>
      </c>
      <c r="R62" s="28" t="s">
        <v>609</v>
      </c>
      <c r="S62" s="27">
        <v>3183827.8440088909</v>
      </c>
      <c r="T62" s="94">
        <v>0.15090846879750777</v>
      </c>
      <c r="U62" s="27">
        <v>3054053.4673366835</v>
      </c>
      <c r="V62" s="94">
        <v>0.16236979220377465</v>
      </c>
      <c r="W62" s="27">
        <v>3063751.708886208</v>
      </c>
      <c r="X62" s="94">
        <v>0.19900785077437946</v>
      </c>
    </row>
    <row r="63" spans="2:24" ht="22.5">
      <c r="B63" s="28" t="s">
        <v>477</v>
      </c>
      <c r="C63" s="140">
        <v>48</v>
      </c>
      <c r="D63" s="141" t="s">
        <v>473</v>
      </c>
      <c r="E63" s="15"/>
      <c r="F63" s="13">
        <v>61207</v>
      </c>
      <c r="G63" s="13"/>
      <c r="H63" s="13">
        <v>0</v>
      </c>
      <c r="I63" s="13"/>
      <c r="J63" s="13">
        <v>48733</v>
      </c>
      <c r="K63" s="138"/>
      <c r="L63" s="28" t="s">
        <v>478</v>
      </c>
      <c r="M63" s="131">
        <f t="shared" si="11"/>
        <v>48</v>
      </c>
      <c r="N63" s="27">
        <f t="shared" si="1"/>
        <v>61207</v>
      </c>
      <c r="O63" s="27">
        <f t="shared" si="2"/>
        <v>48733</v>
      </c>
      <c r="P63" s="27">
        <f t="shared" si="3"/>
        <v>-12474</v>
      </c>
      <c r="R63" s="28" t="s">
        <v>610</v>
      </c>
      <c r="S63" s="27">
        <v>11448.979591836734</v>
      </c>
      <c r="T63" s="94">
        <v>5.4266375700845601E-4</v>
      </c>
      <c r="U63" s="27">
        <v>12302.914572864322</v>
      </c>
      <c r="V63" s="94">
        <v>6.5408864123090024E-4</v>
      </c>
      <c r="W63" s="27">
        <v>9797.5472456775224</v>
      </c>
      <c r="X63" s="94">
        <v>6.3640562470107878E-4</v>
      </c>
    </row>
    <row r="64" spans="2:24" ht="22.5">
      <c r="B64" s="28" t="s">
        <v>479</v>
      </c>
      <c r="C64" s="140">
        <v>49</v>
      </c>
      <c r="D64" s="141" t="s">
        <v>473</v>
      </c>
      <c r="E64" s="15"/>
      <c r="F64" s="13">
        <v>16360141</v>
      </c>
      <c r="G64" s="13"/>
      <c r="H64" s="13">
        <v>0</v>
      </c>
      <c r="I64" s="13"/>
      <c r="J64" s="13">
        <v>13949677</v>
      </c>
      <c r="K64" s="138"/>
      <c r="L64" s="15" t="s">
        <v>480</v>
      </c>
      <c r="M64" s="131">
        <f t="shared" si="11"/>
        <v>49</v>
      </c>
      <c r="N64" s="27">
        <f>F64</f>
        <v>16360141</v>
      </c>
      <c r="O64" s="27">
        <f>J64</f>
        <v>13949677</v>
      </c>
      <c r="P64" s="27">
        <f t="shared" si="3"/>
        <v>-2410464</v>
      </c>
      <c r="R64" s="15" t="s">
        <v>611</v>
      </c>
      <c r="S64" s="27">
        <v>3341737.7247928875</v>
      </c>
      <c r="T64" s="94">
        <v>0.15839315059710679</v>
      </c>
      <c r="U64" s="27">
        <v>3288470.5527638192</v>
      </c>
      <c r="V64" s="94">
        <v>0.17483265634708353</v>
      </c>
      <c r="W64" s="27">
        <v>2804518.8982710093</v>
      </c>
      <c r="X64" s="94">
        <v>0.18216922630585583</v>
      </c>
    </row>
    <row r="65" spans="2:24">
      <c r="B65" s="28" t="s">
        <v>481</v>
      </c>
      <c r="C65" s="140">
        <v>50</v>
      </c>
      <c r="D65" s="141" t="s">
        <v>473</v>
      </c>
      <c r="E65" s="15"/>
      <c r="F65" s="13">
        <v>0</v>
      </c>
      <c r="G65" s="13"/>
      <c r="H65" s="13">
        <v>0</v>
      </c>
      <c r="I65" s="13"/>
      <c r="J65" s="13">
        <v>0</v>
      </c>
      <c r="K65" s="138"/>
      <c r="L65" s="15" t="s">
        <v>482</v>
      </c>
      <c r="M65" s="131">
        <f t="shared" si="11"/>
        <v>50</v>
      </c>
      <c r="N65" s="27">
        <f t="shared" si="1"/>
        <v>0</v>
      </c>
      <c r="O65" s="27">
        <f t="shared" si="2"/>
        <v>0</v>
      </c>
      <c r="P65" s="27">
        <f t="shared" si="3"/>
        <v>0</v>
      </c>
      <c r="R65" s="15" t="s">
        <v>612</v>
      </c>
      <c r="S65" s="27">
        <v>0</v>
      </c>
      <c r="T65" s="94">
        <v>0</v>
      </c>
      <c r="U65" s="27">
        <v>0</v>
      </c>
      <c r="V65" s="94">
        <v>0</v>
      </c>
      <c r="W65" s="27">
        <v>0</v>
      </c>
      <c r="X65" s="94"/>
    </row>
    <row r="66" spans="2:24" ht="22.5">
      <c r="B66" s="28" t="s">
        <v>483</v>
      </c>
      <c r="C66" s="140">
        <v>51</v>
      </c>
      <c r="D66" s="141" t="s">
        <v>473</v>
      </c>
      <c r="E66" s="15"/>
      <c r="F66" s="13">
        <v>0</v>
      </c>
      <c r="G66" s="13"/>
      <c r="H66" s="13">
        <v>0</v>
      </c>
      <c r="I66" s="13"/>
      <c r="J66" s="13">
        <v>0</v>
      </c>
      <c r="K66" s="138"/>
      <c r="L66" s="28" t="s">
        <v>484</v>
      </c>
      <c r="M66" s="131">
        <f t="shared" si="11"/>
        <v>51</v>
      </c>
      <c r="N66" s="27">
        <f t="shared" si="1"/>
        <v>0</v>
      </c>
      <c r="O66" s="27">
        <f t="shared" si="2"/>
        <v>0</v>
      </c>
      <c r="P66" s="27">
        <f t="shared" si="3"/>
        <v>0</v>
      </c>
      <c r="R66" s="28" t="s">
        <v>613</v>
      </c>
      <c r="S66" s="27">
        <v>0</v>
      </c>
      <c r="T66" s="94">
        <v>0</v>
      </c>
      <c r="U66" s="27">
        <v>0</v>
      </c>
      <c r="V66" s="94">
        <v>0</v>
      </c>
      <c r="W66" s="27">
        <v>0</v>
      </c>
      <c r="X66" s="94"/>
    </row>
    <row r="67" spans="2:24" ht="33.75">
      <c r="B67" s="28" t="s">
        <v>485</v>
      </c>
      <c r="C67" s="140">
        <v>52</v>
      </c>
      <c r="D67" s="141" t="s">
        <v>473</v>
      </c>
      <c r="E67" s="15"/>
      <c r="F67" s="13">
        <v>0</v>
      </c>
      <c r="G67" s="13"/>
      <c r="H67" s="13">
        <v>0</v>
      </c>
      <c r="I67" s="13"/>
      <c r="J67" s="13">
        <v>0</v>
      </c>
      <c r="K67" s="138"/>
      <c r="L67" s="28" t="s">
        <v>486</v>
      </c>
      <c r="M67" s="131">
        <f t="shared" si="11"/>
        <v>52</v>
      </c>
      <c r="N67" s="27">
        <f t="shared" si="1"/>
        <v>0</v>
      </c>
      <c r="O67" s="27">
        <f t="shared" si="2"/>
        <v>0</v>
      </c>
      <c r="P67" s="27">
        <f t="shared" si="3"/>
        <v>0</v>
      </c>
      <c r="R67" s="28" t="s">
        <v>614</v>
      </c>
      <c r="S67" s="27">
        <v>899709.03212770261</v>
      </c>
      <c r="T67" s="94">
        <v>4.2644803379419206E-2</v>
      </c>
      <c r="U67" s="27">
        <v>0</v>
      </c>
      <c r="V67" s="94">
        <v>0</v>
      </c>
      <c r="W67" s="27">
        <v>0</v>
      </c>
      <c r="X67" s="94"/>
    </row>
    <row r="68" spans="2:24" ht="90">
      <c r="B68" s="28" t="s">
        <v>487</v>
      </c>
      <c r="C68" s="140">
        <v>53</v>
      </c>
      <c r="D68" s="141" t="s">
        <v>473</v>
      </c>
      <c r="E68" s="15"/>
      <c r="F68" s="11">
        <v>4430907</v>
      </c>
      <c r="G68" s="13"/>
      <c r="H68" s="11">
        <v>0</v>
      </c>
      <c r="I68" s="11"/>
      <c r="J68" s="11">
        <v>4225465</v>
      </c>
      <c r="K68" s="138"/>
      <c r="L68" s="28" t="s">
        <v>488</v>
      </c>
      <c r="M68" s="131">
        <f t="shared" si="11"/>
        <v>53</v>
      </c>
      <c r="N68" s="30">
        <f t="shared" si="1"/>
        <v>4430907</v>
      </c>
      <c r="O68" s="30">
        <f t="shared" si="2"/>
        <v>4225465</v>
      </c>
      <c r="P68" s="30">
        <f t="shared" si="3"/>
        <v>-205442</v>
      </c>
      <c r="R68" s="28" t="s">
        <v>615</v>
      </c>
      <c r="S68" s="27">
        <v>868891.08910891088</v>
      </c>
      <c r="T68" s="94">
        <v>4.1184080997332485E-2</v>
      </c>
      <c r="U68" s="27">
        <v>890634.77386934683</v>
      </c>
      <c r="V68" s="94">
        <v>4.7350900928637668E-2</v>
      </c>
      <c r="W68" s="27">
        <v>849510.45436268591</v>
      </c>
      <c r="X68" s="94">
        <v>5.5180466890557611E-2</v>
      </c>
    </row>
    <row r="69" spans="2:24" ht="12" thickBot="1">
      <c r="B69" s="191" t="s">
        <v>489</v>
      </c>
      <c r="C69" s="199">
        <v>54</v>
      </c>
      <c r="D69" s="200"/>
      <c r="E69" s="196"/>
      <c r="F69" s="197">
        <v>36046171</v>
      </c>
      <c r="G69" s="189"/>
      <c r="H69" s="197">
        <v>0</v>
      </c>
      <c r="I69" s="197"/>
      <c r="J69" s="197">
        <v>33462976</v>
      </c>
      <c r="K69" s="138"/>
      <c r="L69" s="191" t="s">
        <v>153</v>
      </c>
      <c r="M69" s="192">
        <f t="shared" si="11"/>
        <v>54</v>
      </c>
      <c r="N69" s="206">
        <f t="shared" si="1"/>
        <v>36046171</v>
      </c>
      <c r="O69" s="206">
        <f t="shared" si="2"/>
        <v>33462976</v>
      </c>
      <c r="P69" s="206">
        <f t="shared" si="3"/>
        <v>-2583195</v>
      </c>
      <c r="R69" s="191" t="s">
        <v>220</v>
      </c>
      <c r="S69" s="204">
        <v>8305614.6696302276</v>
      </c>
      <c r="T69" s="205">
        <v>0.39367316752837467</v>
      </c>
      <c r="U69" s="204">
        <v>7245461.7085427139</v>
      </c>
      <c r="V69" s="205">
        <v>0.38520743812072672</v>
      </c>
      <c r="W69" s="204">
        <v>6727578.6087655807</v>
      </c>
      <c r="X69" s="205">
        <v>0.43699394959549398</v>
      </c>
    </row>
    <row r="70" spans="2:24" ht="33.75">
      <c r="B70" s="5" t="s">
        <v>490</v>
      </c>
      <c r="C70" s="140">
        <v>55</v>
      </c>
      <c r="D70" s="141"/>
      <c r="E70" s="15"/>
      <c r="F70" s="145">
        <v>20583103</v>
      </c>
      <c r="G70" s="145"/>
      <c r="H70" s="145">
        <v>0</v>
      </c>
      <c r="I70" s="145"/>
      <c r="J70" s="145">
        <v>17199035</v>
      </c>
      <c r="K70" s="138"/>
      <c r="L70" s="5" t="s">
        <v>154</v>
      </c>
      <c r="M70" s="131">
        <f t="shared" si="11"/>
        <v>55</v>
      </c>
      <c r="N70" s="31">
        <f t="shared" si="1"/>
        <v>20583103</v>
      </c>
      <c r="O70" s="31">
        <f t="shared" si="2"/>
        <v>17199035</v>
      </c>
      <c r="P70" s="31">
        <f t="shared" si="3"/>
        <v>-3384068</v>
      </c>
      <c r="R70" s="5" t="s">
        <v>262</v>
      </c>
      <c r="S70" s="29">
        <v>3208662.9622145891</v>
      </c>
      <c r="T70" s="92">
        <v>0.15208561462462258</v>
      </c>
      <c r="U70" s="29">
        <v>4137306.9346733671</v>
      </c>
      <c r="V70" s="92">
        <v>0.21996133153882769</v>
      </c>
      <c r="W70" s="29">
        <v>3457787.4949738639</v>
      </c>
      <c r="X70" s="92">
        <v>0.22460268428848459</v>
      </c>
    </row>
    <row r="71" spans="2:24" ht="33.75">
      <c r="B71" s="5" t="s">
        <v>491</v>
      </c>
      <c r="C71" s="140">
        <v>56</v>
      </c>
      <c r="D71" s="141"/>
      <c r="E71" s="15"/>
      <c r="F71" s="145">
        <v>57529830</v>
      </c>
      <c r="G71" s="145"/>
      <c r="H71" s="145">
        <v>0</v>
      </c>
      <c r="I71" s="145"/>
      <c r="J71" s="145">
        <v>43112400</v>
      </c>
      <c r="K71" s="138"/>
      <c r="L71" s="5" t="s">
        <v>155</v>
      </c>
      <c r="M71" s="131">
        <f t="shared" si="11"/>
        <v>56</v>
      </c>
      <c r="N71" s="31">
        <f t="shared" si="1"/>
        <v>57529830</v>
      </c>
      <c r="O71" s="31">
        <f t="shared" si="2"/>
        <v>43112400</v>
      </c>
      <c r="P71" s="31">
        <f t="shared" si="3"/>
        <v>-14417430</v>
      </c>
      <c r="R71" s="5" t="s">
        <v>263</v>
      </c>
      <c r="S71" s="29">
        <v>12792126.894322086</v>
      </c>
      <c r="T71" s="92">
        <v>0.6063268420489929</v>
      </c>
      <c r="U71" s="29">
        <v>11563784.723618092</v>
      </c>
      <c r="V71" s="92">
        <v>0.61479255119277276</v>
      </c>
      <c r="W71" s="29">
        <v>8667551.2665862478</v>
      </c>
      <c r="X71" s="92">
        <v>0.56300605040450602</v>
      </c>
    </row>
    <row r="72" spans="2:24" ht="33.75">
      <c r="B72" s="144" t="s">
        <v>492</v>
      </c>
      <c r="C72" s="140"/>
      <c r="D72" s="141"/>
      <c r="E72" s="15"/>
      <c r="F72" s="145"/>
      <c r="G72" s="145"/>
      <c r="H72" s="145"/>
      <c r="I72" s="145"/>
      <c r="J72" s="145"/>
      <c r="K72" s="138"/>
      <c r="L72" s="5" t="s">
        <v>156</v>
      </c>
      <c r="M72" s="131"/>
      <c r="N72" s="31"/>
      <c r="O72" s="31"/>
      <c r="P72" s="31"/>
      <c r="R72" s="5" t="s">
        <v>156</v>
      </c>
      <c r="S72" s="29">
        <v>0</v>
      </c>
      <c r="T72" s="92"/>
      <c r="U72" s="29">
        <v>0</v>
      </c>
      <c r="V72" s="92"/>
      <c r="W72" s="29">
        <v>0</v>
      </c>
      <c r="X72" s="92"/>
    </row>
    <row r="73" spans="2:24" ht="33.75">
      <c r="B73" s="28" t="s">
        <v>493</v>
      </c>
      <c r="C73" s="140">
        <v>57</v>
      </c>
      <c r="D73" s="141" t="s">
        <v>494</v>
      </c>
      <c r="E73" s="15"/>
      <c r="F73" s="13">
        <v>0</v>
      </c>
      <c r="G73" s="13"/>
      <c r="H73" s="13">
        <v>0</v>
      </c>
      <c r="I73" s="13"/>
      <c r="J73" s="13">
        <v>0</v>
      </c>
      <c r="K73" s="138"/>
      <c r="L73" s="28" t="s">
        <v>495</v>
      </c>
      <c r="M73" s="131">
        <f t="shared" ref="M73:M81" si="12">C73</f>
        <v>57</v>
      </c>
      <c r="N73" s="27">
        <f t="shared" si="1"/>
        <v>0</v>
      </c>
      <c r="O73" s="27">
        <f t="shared" si="2"/>
        <v>0</v>
      </c>
      <c r="P73" s="27">
        <f t="shared" si="3"/>
        <v>0</v>
      </c>
      <c r="R73" s="28" t="s">
        <v>608</v>
      </c>
      <c r="S73" s="27">
        <v>0</v>
      </c>
      <c r="T73" s="94"/>
      <c r="U73" s="27">
        <v>0</v>
      </c>
      <c r="V73" s="94"/>
      <c r="W73" s="27">
        <v>0</v>
      </c>
      <c r="X73" s="94"/>
    </row>
    <row r="74" spans="2:24" ht="33.75">
      <c r="B74" s="28" t="s">
        <v>475</v>
      </c>
      <c r="C74" s="140">
        <v>58</v>
      </c>
      <c r="D74" s="141" t="s">
        <v>494</v>
      </c>
      <c r="E74" s="15"/>
      <c r="F74" s="13">
        <v>42830405</v>
      </c>
      <c r="G74" s="13"/>
      <c r="H74" s="13">
        <v>0</v>
      </c>
      <c r="I74" s="13"/>
      <c r="J74" s="13">
        <v>27581191</v>
      </c>
      <c r="K74" s="138"/>
      <c r="L74" s="28" t="s">
        <v>476</v>
      </c>
      <c r="M74" s="131">
        <f t="shared" si="12"/>
        <v>58</v>
      </c>
      <c r="N74" s="27">
        <f t="shared" ref="N74:N126" si="13">F74</f>
        <v>42830405</v>
      </c>
      <c r="O74" s="27">
        <f t="shared" ref="O74:O126" si="14">J74</f>
        <v>27581191</v>
      </c>
      <c r="P74" s="27">
        <f t="shared" ref="P74:P126" si="15">O74-N74</f>
        <v>-15249214</v>
      </c>
      <c r="R74" s="28" t="s">
        <v>609</v>
      </c>
      <c r="S74" s="27">
        <v>10841984.643362295</v>
      </c>
      <c r="T74" s="94">
        <v>0.51389314417068344</v>
      </c>
      <c r="U74" s="27">
        <v>8609126.6331658289</v>
      </c>
      <c r="V74" s="94">
        <v>0.45770714803566837</v>
      </c>
      <c r="W74" s="27">
        <v>5545072.577402493</v>
      </c>
      <c r="X74" s="94">
        <v>0.36018355300011845</v>
      </c>
    </row>
    <row r="75" spans="2:24" ht="22.5">
      <c r="B75" s="28" t="s">
        <v>477</v>
      </c>
      <c r="C75" s="140">
        <v>59</v>
      </c>
      <c r="D75" s="141" t="s">
        <v>494</v>
      </c>
      <c r="E75" s="15"/>
      <c r="F75" s="13">
        <v>0</v>
      </c>
      <c r="G75" s="13"/>
      <c r="H75" s="13">
        <v>0</v>
      </c>
      <c r="I75" s="13"/>
      <c r="J75" s="13">
        <v>0</v>
      </c>
      <c r="K75" s="138"/>
      <c r="L75" s="28" t="s">
        <v>478</v>
      </c>
      <c r="M75" s="131">
        <f t="shared" si="12"/>
        <v>59</v>
      </c>
      <c r="N75" s="27">
        <f t="shared" si="13"/>
        <v>0</v>
      </c>
      <c r="O75" s="27">
        <f t="shared" si="14"/>
        <v>0</v>
      </c>
      <c r="P75" s="27">
        <f t="shared" si="15"/>
        <v>0</v>
      </c>
      <c r="R75" s="28" t="s">
        <v>610</v>
      </c>
      <c r="S75" s="27">
        <v>0</v>
      </c>
      <c r="T75" s="94"/>
      <c r="U75" s="27">
        <v>0</v>
      </c>
      <c r="V75" s="94"/>
      <c r="W75" s="27">
        <v>0</v>
      </c>
      <c r="X75" s="94"/>
    </row>
    <row r="76" spans="2:24" ht="22.5">
      <c r="B76" s="28" t="s">
        <v>479</v>
      </c>
      <c r="C76" s="140">
        <v>60</v>
      </c>
      <c r="D76" s="141" t="s">
        <v>494</v>
      </c>
      <c r="E76" s="15"/>
      <c r="F76" s="13">
        <v>0</v>
      </c>
      <c r="G76" s="13"/>
      <c r="H76" s="13">
        <v>0</v>
      </c>
      <c r="I76" s="13"/>
      <c r="J76" s="13">
        <v>0</v>
      </c>
      <c r="K76" s="138"/>
      <c r="L76" s="15" t="s">
        <v>480</v>
      </c>
      <c r="M76" s="131">
        <f t="shared" si="12"/>
        <v>60</v>
      </c>
      <c r="N76" s="27">
        <f t="shared" si="13"/>
        <v>0</v>
      </c>
      <c r="O76" s="27">
        <f t="shared" si="14"/>
        <v>0</v>
      </c>
      <c r="P76" s="27">
        <f t="shared" si="15"/>
        <v>0</v>
      </c>
      <c r="R76" s="15" t="s">
        <v>611</v>
      </c>
      <c r="S76" s="27">
        <v>0</v>
      </c>
      <c r="T76" s="94"/>
      <c r="U76" s="27">
        <v>0</v>
      </c>
      <c r="V76" s="94"/>
      <c r="W76" s="27">
        <v>0</v>
      </c>
      <c r="X76" s="94"/>
    </row>
    <row r="77" spans="2:24">
      <c r="B77" s="28" t="s">
        <v>481</v>
      </c>
      <c r="C77" s="140">
        <v>61</v>
      </c>
      <c r="D77" s="141" t="s">
        <v>494</v>
      </c>
      <c r="E77" s="15"/>
      <c r="F77" s="13">
        <v>0</v>
      </c>
      <c r="G77" s="13"/>
      <c r="H77" s="13">
        <v>0</v>
      </c>
      <c r="I77" s="13"/>
      <c r="J77" s="13">
        <v>0</v>
      </c>
      <c r="K77" s="138"/>
      <c r="L77" s="15" t="s">
        <v>482</v>
      </c>
      <c r="M77" s="131">
        <f t="shared" si="12"/>
        <v>61</v>
      </c>
      <c r="N77" s="27">
        <f t="shared" si="13"/>
        <v>0</v>
      </c>
      <c r="O77" s="27">
        <f t="shared" si="14"/>
        <v>0</v>
      </c>
      <c r="P77" s="27">
        <f t="shared" si="15"/>
        <v>0</v>
      </c>
      <c r="R77" s="15" t="s">
        <v>612</v>
      </c>
      <c r="S77" s="27">
        <v>0</v>
      </c>
      <c r="T77" s="94"/>
      <c r="U77" s="27">
        <v>0</v>
      </c>
      <c r="V77" s="94"/>
      <c r="W77" s="27">
        <v>0</v>
      </c>
      <c r="X77" s="94"/>
    </row>
    <row r="78" spans="2:24" ht="22.5">
      <c r="B78" s="28" t="s">
        <v>496</v>
      </c>
      <c r="C78" s="140">
        <v>62</v>
      </c>
      <c r="D78" s="141" t="s">
        <v>494</v>
      </c>
      <c r="E78" s="15"/>
      <c r="F78" s="13">
        <v>0</v>
      </c>
      <c r="G78" s="13"/>
      <c r="H78" s="13">
        <v>0</v>
      </c>
      <c r="I78" s="13"/>
      <c r="J78" s="13">
        <v>0</v>
      </c>
      <c r="K78" s="138"/>
      <c r="L78" s="28" t="s">
        <v>484</v>
      </c>
      <c r="M78" s="131">
        <f t="shared" si="12"/>
        <v>62</v>
      </c>
      <c r="N78" s="27">
        <f t="shared" si="13"/>
        <v>0</v>
      </c>
      <c r="O78" s="27">
        <f t="shared" si="14"/>
        <v>0</v>
      </c>
      <c r="P78" s="27">
        <f t="shared" si="15"/>
        <v>0</v>
      </c>
      <c r="R78" s="28" t="s">
        <v>613</v>
      </c>
      <c r="S78" s="27">
        <v>0</v>
      </c>
      <c r="T78" s="94"/>
      <c r="U78" s="27">
        <v>0</v>
      </c>
      <c r="V78" s="94"/>
      <c r="W78" s="27">
        <v>0</v>
      </c>
      <c r="X78" s="94"/>
    </row>
    <row r="79" spans="2:24" ht="33.75">
      <c r="B79" s="28" t="s">
        <v>497</v>
      </c>
      <c r="C79" s="140">
        <v>63</v>
      </c>
      <c r="D79" s="141" t="s">
        <v>494</v>
      </c>
      <c r="E79" s="15"/>
      <c r="F79" s="13">
        <v>0</v>
      </c>
      <c r="G79" s="13"/>
      <c r="H79" s="13">
        <v>0</v>
      </c>
      <c r="I79" s="13"/>
      <c r="J79" s="13">
        <v>0</v>
      </c>
      <c r="K79" s="138"/>
      <c r="L79" s="28" t="s">
        <v>486</v>
      </c>
      <c r="M79" s="131">
        <f t="shared" si="12"/>
        <v>63</v>
      </c>
      <c r="N79" s="27">
        <f t="shared" si="13"/>
        <v>0</v>
      </c>
      <c r="O79" s="27">
        <f t="shared" si="14"/>
        <v>0</v>
      </c>
      <c r="P79" s="27">
        <f t="shared" si="15"/>
        <v>0</v>
      </c>
      <c r="R79" s="28" t="s">
        <v>614</v>
      </c>
      <c r="S79" s="27">
        <v>0</v>
      </c>
      <c r="T79" s="94"/>
      <c r="U79" s="27">
        <v>0</v>
      </c>
      <c r="V79" s="94"/>
      <c r="W79" s="27">
        <v>0</v>
      </c>
      <c r="X79" s="94"/>
    </row>
    <row r="80" spans="2:24" ht="90">
      <c r="B80" s="28" t="s">
        <v>498</v>
      </c>
      <c r="C80" s="140">
        <v>64</v>
      </c>
      <c r="D80" s="141" t="s">
        <v>494</v>
      </c>
      <c r="E80" s="15"/>
      <c r="F80" s="13">
        <v>2009191</v>
      </c>
      <c r="G80" s="13"/>
      <c r="H80" s="13">
        <v>0</v>
      </c>
      <c r="I80" s="13"/>
      <c r="J80" s="13">
        <v>1051801</v>
      </c>
      <c r="K80" s="138"/>
      <c r="L80" s="28" t="s">
        <v>499</v>
      </c>
      <c r="M80" s="131">
        <f t="shared" si="12"/>
        <v>64</v>
      </c>
      <c r="N80" s="27">
        <f t="shared" si="13"/>
        <v>2009191</v>
      </c>
      <c r="O80" s="27">
        <f t="shared" si="14"/>
        <v>1051801</v>
      </c>
      <c r="P80" s="27">
        <f t="shared" si="15"/>
        <v>-957390</v>
      </c>
      <c r="R80" s="28" t="s">
        <v>615</v>
      </c>
      <c r="S80" s="27">
        <v>342841.78621943831</v>
      </c>
      <c r="T80" s="94">
        <v>1.6250165377356834E-2</v>
      </c>
      <c r="U80" s="27">
        <v>403857.48743718595</v>
      </c>
      <c r="V80" s="94">
        <v>2.1471220794408379E-2</v>
      </c>
      <c r="W80" s="27">
        <v>211459.79091274628</v>
      </c>
      <c r="X80" s="94">
        <v>1.3735498993827989E-2</v>
      </c>
    </row>
    <row r="81" spans="2:24" ht="12" thickBot="1">
      <c r="B81" s="191" t="s">
        <v>500</v>
      </c>
      <c r="C81" s="199">
        <v>65</v>
      </c>
      <c r="D81" s="200"/>
      <c r="E81" s="196"/>
      <c r="F81" s="201">
        <v>44839596</v>
      </c>
      <c r="G81" s="202"/>
      <c r="H81" s="201">
        <v>0</v>
      </c>
      <c r="I81" s="201"/>
      <c r="J81" s="201">
        <v>28632992</v>
      </c>
      <c r="K81" s="138"/>
      <c r="L81" s="191" t="s">
        <v>159</v>
      </c>
      <c r="M81" s="192">
        <f t="shared" si="12"/>
        <v>65</v>
      </c>
      <c r="N81" s="203">
        <f>F81</f>
        <v>44839596</v>
      </c>
      <c r="O81" s="203">
        <f>J81</f>
        <v>28632992</v>
      </c>
      <c r="P81" s="203">
        <f t="shared" si="15"/>
        <v>-16206604</v>
      </c>
      <c r="R81" s="191" t="s">
        <v>220</v>
      </c>
      <c r="S81" s="204">
        <v>11184826.429581733</v>
      </c>
      <c r="T81" s="205">
        <v>0.53014330954804034</v>
      </c>
      <c r="U81" s="204">
        <v>9012984.1206030156</v>
      </c>
      <c r="V81" s="205">
        <v>0.47917836883007681</v>
      </c>
      <c r="W81" s="204">
        <v>5756532.3683152394</v>
      </c>
      <c r="X81" s="205">
        <v>0.37391905199394648</v>
      </c>
    </row>
    <row r="82" spans="2:24">
      <c r="B82" s="144" t="s">
        <v>501</v>
      </c>
      <c r="C82" s="140"/>
      <c r="D82" s="141"/>
      <c r="E82" s="32"/>
      <c r="F82" s="13"/>
      <c r="G82" s="13"/>
      <c r="H82" s="13"/>
      <c r="I82" s="13"/>
      <c r="J82" s="13"/>
      <c r="K82" s="138"/>
      <c r="L82" s="5" t="s">
        <v>160</v>
      </c>
      <c r="M82" s="131"/>
      <c r="N82" s="27"/>
      <c r="O82" s="27"/>
      <c r="P82" s="27"/>
      <c r="R82" s="5" t="s">
        <v>160</v>
      </c>
      <c r="S82" s="27">
        <v>0</v>
      </c>
      <c r="T82" s="94"/>
      <c r="U82" s="27">
        <v>0</v>
      </c>
      <c r="V82" s="94"/>
      <c r="W82" s="27">
        <v>0</v>
      </c>
      <c r="X82" s="94"/>
    </row>
    <row r="83" spans="2:24" ht="22.5" outlineLevel="1">
      <c r="B83" s="28" t="s">
        <v>502</v>
      </c>
      <c r="C83" s="140">
        <v>66</v>
      </c>
      <c r="D83" s="141" t="s">
        <v>160</v>
      </c>
      <c r="E83" s="15"/>
      <c r="F83" s="142">
        <v>0</v>
      </c>
      <c r="G83" s="142"/>
      <c r="H83" s="142">
        <v>0</v>
      </c>
      <c r="I83" s="142"/>
      <c r="J83" s="142">
        <v>0</v>
      </c>
      <c r="K83" s="138"/>
      <c r="L83" s="15" t="s">
        <v>503</v>
      </c>
      <c r="M83" s="131">
        <f>C83</f>
        <v>66</v>
      </c>
      <c r="N83" s="25">
        <f t="shared" si="13"/>
        <v>0</v>
      </c>
      <c r="O83" s="25">
        <f t="shared" si="14"/>
        <v>0</v>
      </c>
      <c r="P83" s="25">
        <f t="shared" si="15"/>
        <v>0</v>
      </c>
      <c r="R83" s="15" t="s">
        <v>616</v>
      </c>
      <c r="S83" s="27">
        <v>0</v>
      </c>
      <c r="T83" s="94"/>
      <c r="U83" s="27">
        <v>0</v>
      </c>
      <c r="V83" s="94"/>
      <c r="W83" s="27">
        <v>0</v>
      </c>
      <c r="X83" s="94"/>
    </row>
    <row r="84" spans="2:24" outlineLevel="1">
      <c r="B84" s="28" t="s">
        <v>504</v>
      </c>
      <c r="C84" s="140">
        <v>67</v>
      </c>
      <c r="D84" s="141" t="s">
        <v>160</v>
      </c>
      <c r="E84" s="15"/>
      <c r="F84" s="142">
        <v>0</v>
      </c>
      <c r="G84" s="142"/>
      <c r="H84" s="142">
        <v>0</v>
      </c>
      <c r="I84" s="142"/>
      <c r="J84" s="142">
        <v>0</v>
      </c>
      <c r="K84" s="138"/>
      <c r="L84" s="15" t="s">
        <v>505</v>
      </c>
      <c r="M84" s="131">
        <f>C84</f>
        <v>67</v>
      </c>
      <c r="N84" s="25">
        <f t="shared" si="13"/>
        <v>0</v>
      </c>
      <c r="O84" s="25">
        <f t="shared" si="14"/>
        <v>0</v>
      </c>
      <c r="P84" s="25">
        <f t="shared" si="15"/>
        <v>0</v>
      </c>
      <c r="R84" s="15" t="s">
        <v>617</v>
      </c>
      <c r="S84" s="27">
        <v>0</v>
      </c>
      <c r="T84" s="94"/>
      <c r="U84" s="27">
        <v>0</v>
      </c>
      <c r="V84" s="94"/>
      <c r="W84" s="27">
        <v>0</v>
      </c>
      <c r="X84" s="94"/>
    </row>
    <row r="85" spans="2:24" ht="22.5" outlineLevel="1">
      <c r="B85" s="28" t="s">
        <v>506</v>
      </c>
      <c r="C85" s="140">
        <v>68</v>
      </c>
      <c r="D85" s="141" t="s">
        <v>160</v>
      </c>
      <c r="E85" s="15"/>
      <c r="F85" s="142">
        <v>0</v>
      </c>
      <c r="G85" s="142"/>
      <c r="H85" s="142">
        <v>0</v>
      </c>
      <c r="I85" s="142"/>
      <c r="J85" s="142">
        <v>0</v>
      </c>
      <c r="K85" s="138"/>
      <c r="L85" s="15" t="s">
        <v>507</v>
      </c>
      <c r="M85" s="131">
        <f>C85</f>
        <v>68</v>
      </c>
      <c r="N85" s="25">
        <f t="shared" si="13"/>
        <v>0</v>
      </c>
      <c r="O85" s="25">
        <f t="shared" si="14"/>
        <v>0</v>
      </c>
      <c r="P85" s="25">
        <f t="shared" si="15"/>
        <v>0</v>
      </c>
      <c r="R85" s="15" t="s">
        <v>618</v>
      </c>
      <c r="S85" s="27">
        <v>0</v>
      </c>
      <c r="T85" s="94"/>
      <c r="U85" s="27">
        <v>0</v>
      </c>
      <c r="V85" s="94"/>
      <c r="W85" s="27">
        <v>0</v>
      </c>
      <c r="X85" s="94"/>
    </row>
    <row r="86" spans="2:24" ht="23.25" thickBot="1">
      <c r="B86" s="191" t="s">
        <v>508</v>
      </c>
      <c r="C86" s="199">
        <v>69</v>
      </c>
      <c r="D86" s="200"/>
      <c r="E86" s="196"/>
      <c r="F86" s="198">
        <v>0</v>
      </c>
      <c r="G86" s="189"/>
      <c r="H86" s="198">
        <v>0</v>
      </c>
      <c r="I86" s="198"/>
      <c r="J86" s="198">
        <v>0</v>
      </c>
      <c r="K86" s="138"/>
      <c r="L86" s="191" t="s">
        <v>164</v>
      </c>
      <c r="M86" s="192">
        <f>C86</f>
        <v>69</v>
      </c>
      <c r="N86" s="203">
        <f t="shared" si="13"/>
        <v>0</v>
      </c>
      <c r="O86" s="203">
        <f t="shared" si="14"/>
        <v>0</v>
      </c>
      <c r="P86" s="203">
        <f t="shared" si="15"/>
        <v>0</v>
      </c>
      <c r="R86" s="191" t="s">
        <v>267</v>
      </c>
      <c r="S86" s="204">
        <v>0</v>
      </c>
      <c r="T86" s="205"/>
      <c r="U86" s="204">
        <v>0</v>
      </c>
      <c r="V86" s="205"/>
      <c r="W86" s="204">
        <v>0</v>
      </c>
      <c r="X86" s="205"/>
    </row>
    <row r="87" spans="2:24">
      <c r="B87" s="144" t="s">
        <v>509</v>
      </c>
      <c r="C87" s="140"/>
      <c r="D87" s="141"/>
      <c r="E87" s="32"/>
      <c r="F87" s="9"/>
      <c r="G87" s="9"/>
      <c r="H87" s="9"/>
      <c r="I87" s="9"/>
      <c r="J87" s="9"/>
      <c r="K87" s="138"/>
      <c r="L87" s="5" t="s">
        <v>165</v>
      </c>
      <c r="M87" s="131"/>
      <c r="N87" s="29"/>
      <c r="O87" s="29"/>
      <c r="P87" s="29"/>
      <c r="R87" s="5" t="s">
        <v>165</v>
      </c>
      <c r="S87" s="29">
        <v>0</v>
      </c>
      <c r="T87" s="92"/>
      <c r="U87" s="29">
        <v>0</v>
      </c>
      <c r="V87" s="92"/>
      <c r="W87" s="29">
        <v>0</v>
      </c>
      <c r="X87" s="92"/>
    </row>
    <row r="88" spans="2:24" ht="23.25" outlineLevel="1" thickBot="1">
      <c r="B88" s="28" t="s">
        <v>510</v>
      </c>
      <c r="C88" s="140">
        <v>70</v>
      </c>
      <c r="D88" s="141" t="s">
        <v>511</v>
      </c>
      <c r="E88" s="32"/>
      <c r="F88" s="19">
        <v>0</v>
      </c>
      <c r="G88" s="13"/>
      <c r="H88" s="19">
        <v>0</v>
      </c>
      <c r="I88" s="19"/>
      <c r="J88" s="19">
        <v>0</v>
      </c>
      <c r="K88" s="138"/>
      <c r="L88" s="10" t="s">
        <v>512</v>
      </c>
      <c r="M88" s="131">
        <f t="shared" ref="M88:M98" si="16">C88</f>
        <v>70</v>
      </c>
      <c r="N88" s="26">
        <f t="shared" si="13"/>
        <v>0</v>
      </c>
      <c r="O88" s="26">
        <f t="shared" si="14"/>
        <v>0</v>
      </c>
      <c r="P88" s="26">
        <f t="shared" si="15"/>
        <v>0</v>
      </c>
      <c r="R88" s="10" t="s">
        <v>619</v>
      </c>
      <c r="S88" s="27">
        <v>0</v>
      </c>
      <c r="T88" s="94"/>
      <c r="U88" s="27">
        <v>0</v>
      </c>
      <c r="V88" s="94"/>
      <c r="W88" s="27">
        <v>0</v>
      </c>
      <c r="X88" s="94"/>
    </row>
    <row r="89" spans="2:24" ht="22.5" outlineLevel="1">
      <c r="B89" s="28" t="s">
        <v>513</v>
      </c>
      <c r="C89" s="140">
        <v>71</v>
      </c>
      <c r="D89" s="141" t="s">
        <v>511</v>
      </c>
      <c r="E89" s="32"/>
      <c r="F89" s="142">
        <v>0</v>
      </c>
      <c r="G89" s="142"/>
      <c r="H89" s="142">
        <v>0</v>
      </c>
      <c r="I89" s="142"/>
      <c r="J89" s="142">
        <v>0</v>
      </c>
      <c r="K89" s="138"/>
      <c r="L89" s="15" t="s">
        <v>167</v>
      </c>
      <c r="M89" s="131">
        <f t="shared" si="16"/>
        <v>71</v>
      </c>
      <c r="N89" s="25">
        <f t="shared" si="13"/>
        <v>0</v>
      </c>
      <c r="O89" s="25">
        <f t="shared" si="14"/>
        <v>0</v>
      </c>
      <c r="P89" s="25">
        <f t="shared" si="15"/>
        <v>0</v>
      </c>
      <c r="R89" s="15" t="s">
        <v>269</v>
      </c>
      <c r="S89" s="27">
        <v>0</v>
      </c>
      <c r="T89" s="94"/>
      <c r="U89" s="27">
        <v>0</v>
      </c>
      <c r="V89" s="94"/>
      <c r="W89" s="27">
        <v>0</v>
      </c>
      <c r="X89" s="94"/>
    </row>
    <row r="90" spans="2:24" ht="22.5" outlineLevel="1">
      <c r="B90" s="28" t="s">
        <v>514</v>
      </c>
      <c r="C90" s="140">
        <v>72</v>
      </c>
      <c r="D90" s="141" t="s">
        <v>511</v>
      </c>
      <c r="E90" s="32"/>
      <c r="F90" s="142">
        <v>0</v>
      </c>
      <c r="G90" s="142"/>
      <c r="H90" s="142">
        <v>0</v>
      </c>
      <c r="I90" s="142"/>
      <c r="J90" s="142">
        <v>0</v>
      </c>
      <c r="K90" s="138"/>
      <c r="L90" s="15" t="s">
        <v>168</v>
      </c>
      <c r="M90" s="131">
        <f t="shared" si="16"/>
        <v>72</v>
      </c>
      <c r="N90" s="25">
        <f t="shared" si="13"/>
        <v>0</v>
      </c>
      <c r="O90" s="25">
        <f t="shared" si="14"/>
        <v>0</v>
      </c>
      <c r="P90" s="25">
        <f t="shared" si="15"/>
        <v>0</v>
      </c>
      <c r="R90" s="15" t="s">
        <v>270</v>
      </c>
      <c r="S90" s="27">
        <v>0</v>
      </c>
      <c r="T90" s="94"/>
      <c r="U90" s="27">
        <v>0</v>
      </c>
      <c r="V90" s="94"/>
      <c r="W90" s="27">
        <v>0</v>
      </c>
      <c r="X90" s="94"/>
    </row>
    <row r="91" spans="2:24" ht="23.25" outlineLevel="1" thickBot="1">
      <c r="B91" s="28" t="s">
        <v>515</v>
      </c>
      <c r="C91" s="140">
        <v>73</v>
      </c>
      <c r="D91" s="141" t="s">
        <v>511</v>
      </c>
      <c r="E91" s="32"/>
      <c r="F91" s="19">
        <v>0</v>
      </c>
      <c r="G91" s="13"/>
      <c r="H91" s="19">
        <v>0</v>
      </c>
      <c r="I91" s="19"/>
      <c r="J91" s="19">
        <v>0</v>
      </c>
      <c r="K91" s="138"/>
      <c r="L91" s="10" t="s">
        <v>516</v>
      </c>
      <c r="M91" s="131">
        <f t="shared" si="16"/>
        <v>73</v>
      </c>
      <c r="N91" s="26">
        <f t="shared" si="13"/>
        <v>0</v>
      </c>
      <c r="O91" s="26">
        <f t="shared" si="14"/>
        <v>0</v>
      </c>
      <c r="P91" s="26">
        <f t="shared" si="15"/>
        <v>0</v>
      </c>
      <c r="R91" s="10" t="s">
        <v>620</v>
      </c>
      <c r="S91" s="27">
        <v>0</v>
      </c>
      <c r="T91" s="94"/>
      <c r="U91" s="27">
        <v>0</v>
      </c>
      <c r="V91" s="94"/>
      <c r="W91" s="27">
        <v>0</v>
      </c>
      <c r="X91" s="94"/>
    </row>
    <row r="92" spans="2:24" ht="22.5" outlineLevel="1">
      <c r="B92" s="28" t="s">
        <v>517</v>
      </c>
      <c r="C92" s="140">
        <v>74</v>
      </c>
      <c r="D92" s="141" t="s">
        <v>511</v>
      </c>
      <c r="E92" s="32"/>
      <c r="F92" s="142">
        <v>0</v>
      </c>
      <c r="G92" s="142"/>
      <c r="H92" s="142">
        <v>0</v>
      </c>
      <c r="I92" s="142"/>
      <c r="J92" s="142">
        <v>0</v>
      </c>
      <c r="K92" s="138"/>
      <c r="L92" s="15" t="s">
        <v>170</v>
      </c>
      <c r="M92" s="131">
        <f t="shared" si="16"/>
        <v>74</v>
      </c>
      <c r="N92" s="25">
        <f t="shared" si="13"/>
        <v>0</v>
      </c>
      <c r="O92" s="25">
        <f t="shared" si="14"/>
        <v>0</v>
      </c>
      <c r="P92" s="25">
        <f t="shared" si="15"/>
        <v>0</v>
      </c>
      <c r="R92" s="15" t="s">
        <v>269</v>
      </c>
      <c r="S92" s="27">
        <v>0</v>
      </c>
      <c r="T92" s="94"/>
      <c r="U92" s="27">
        <v>0</v>
      </c>
      <c r="V92" s="94"/>
      <c r="W92" s="27">
        <v>0</v>
      </c>
      <c r="X92" s="94"/>
    </row>
    <row r="93" spans="2:24" ht="22.5" outlineLevel="1">
      <c r="B93" s="28" t="s">
        <v>518</v>
      </c>
      <c r="C93" s="140">
        <v>75</v>
      </c>
      <c r="D93" s="141" t="s">
        <v>511</v>
      </c>
      <c r="E93" s="32"/>
      <c r="F93" s="142">
        <v>0</v>
      </c>
      <c r="G93" s="142"/>
      <c r="H93" s="142">
        <v>0</v>
      </c>
      <c r="I93" s="142"/>
      <c r="J93" s="142">
        <v>0</v>
      </c>
      <c r="K93" s="138"/>
      <c r="L93" s="15" t="s">
        <v>171</v>
      </c>
      <c r="M93" s="131">
        <f t="shared" si="16"/>
        <v>75</v>
      </c>
      <c r="N93" s="25">
        <f t="shared" si="13"/>
        <v>0</v>
      </c>
      <c r="O93" s="25">
        <f t="shared" si="14"/>
        <v>0</v>
      </c>
      <c r="P93" s="25">
        <f t="shared" si="15"/>
        <v>0</v>
      </c>
      <c r="R93" s="15" t="s">
        <v>270</v>
      </c>
      <c r="S93" s="27">
        <v>0</v>
      </c>
      <c r="T93" s="94"/>
      <c r="U93" s="27">
        <v>0</v>
      </c>
      <c r="V93" s="94"/>
      <c r="W93" s="27">
        <v>0</v>
      </c>
      <c r="X93" s="94"/>
    </row>
    <row r="94" spans="2:24" ht="34.5" outlineLevel="1" thickBot="1">
      <c r="B94" s="28" t="s">
        <v>519</v>
      </c>
      <c r="C94" s="140">
        <v>76</v>
      </c>
      <c r="D94" s="141" t="s">
        <v>511</v>
      </c>
      <c r="E94" s="32"/>
      <c r="F94" s="19">
        <v>0</v>
      </c>
      <c r="G94" s="13"/>
      <c r="H94" s="19">
        <v>0</v>
      </c>
      <c r="I94" s="19"/>
      <c r="J94" s="19">
        <v>0</v>
      </c>
      <c r="K94" s="138"/>
      <c r="L94" s="10" t="s">
        <v>520</v>
      </c>
      <c r="M94" s="131">
        <f t="shared" si="16"/>
        <v>76</v>
      </c>
      <c r="N94" s="26">
        <f t="shared" si="13"/>
        <v>0</v>
      </c>
      <c r="O94" s="26">
        <f t="shared" si="14"/>
        <v>0</v>
      </c>
      <c r="P94" s="26">
        <f t="shared" si="15"/>
        <v>0</v>
      </c>
      <c r="R94" s="10" t="s">
        <v>621</v>
      </c>
      <c r="S94" s="27">
        <v>0</v>
      </c>
      <c r="T94" s="94"/>
      <c r="U94" s="27">
        <v>0</v>
      </c>
      <c r="V94" s="94"/>
      <c r="W94" s="27">
        <v>0</v>
      </c>
      <c r="X94" s="94"/>
    </row>
    <row r="95" spans="2:24" ht="22.5" outlineLevel="1">
      <c r="B95" s="28" t="s">
        <v>521</v>
      </c>
      <c r="C95" s="140">
        <v>77</v>
      </c>
      <c r="D95" s="141" t="s">
        <v>511</v>
      </c>
      <c r="E95" s="32"/>
      <c r="F95" s="142">
        <v>0</v>
      </c>
      <c r="G95" s="142"/>
      <c r="H95" s="142">
        <v>0</v>
      </c>
      <c r="I95" s="142"/>
      <c r="J95" s="142">
        <v>0</v>
      </c>
      <c r="K95" s="138"/>
      <c r="L95" s="15" t="s">
        <v>173</v>
      </c>
      <c r="M95" s="131">
        <f t="shared" si="16"/>
        <v>77</v>
      </c>
      <c r="N95" s="25">
        <f t="shared" si="13"/>
        <v>0</v>
      </c>
      <c r="O95" s="25">
        <f t="shared" si="14"/>
        <v>0</v>
      </c>
      <c r="P95" s="25">
        <f t="shared" si="15"/>
        <v>0</v>
      </c>
      <c r="R95" s="15" t="s">
        <v>269</v>
      </c>
      <c r="S95" s="27">
        <v>0</v>
      </c>
      <c r="T95" s="94"/>
      <c r="U95" s="27">
        <v>0</v>
      </c>
      <c r="V95" s="94"/>
      <c r="W95" s="27">
        <v>0</v>
      </c>
      <c r="X95" s="94"/>
    </row>
    <row r="96" spans="2:24" ht="22.5" outlineLevel="1">
      <c r="B96" s="28" t="s">
        <v>522</v>
      </c>
      <c r="C96" s="140">
        <v>78</v>
      </c>
      <c r="D96" s="141" t="s">
        <v>511</v>
      </c>
      <c r="E96" s="32"/>
      <c r="F96" s="142">
        <v>0</v>
      </c>
      <c r="G96" s="142"/>
      <c r="H96" s="142">
        <v>0</v>
      </c>
      <c r="I96" s="142"/>
      <c r="J96" s="142">
        <v>0</v>
      </c>
      <c r="K96" s="138"/>
      <c r="L96" s="15" t="s">
        <v>174</v>
      </c>
      <c r="M96" s="131">
        <f t="shared" si="16"/>
        <v>78</v>
      </c>
      <c r="N96" s="25">
        <f t="shared" si="13"/>
        <v>0</v>
      </c>
      <c r="O96" s="25">
        <f t="shared" si="14"/>
        <v>0</v>
      </c>
      <c r="P96" s="25">
        <f t="shared" si="15"/>
        <v>0</v>
      </c>
      <c r="R96" s="15" t="s">
        <v>270</v>
      </c>
      <c r="S96" s="27">
        <v>0</v>
      </c>
      <c r="T96" s="94"/>
      <c r="U96" s="27">
        <v>0</v>
      </c>
      <c r="V96" s="94"/>
      <c r="W96" s="27">
        <v>0</v>
      </c>
      <c r="X96" s="94"/>
    </row>
    <row r="97" spans="2:24" outlineLevel="1">
      <c r="B97" s="28" t="s">
        <v>523</v>
      </c>
      <c r="C97" s="140">
        <v>79</v>
      </c>
      <c r="D97" s="141" t="s">
        <v>511</v>
      </c>
      <c r="E97" s="32"/>
      <c r="F97" s="142">
        <v>0</v>
      </c>
      <c r="G97" s="142"/>
      <c r="H97" s="142">
        <v>0</v>
      </c>
      <c r="I97" s="142"/>
      <c r="J97" s="142">
        <v>0</v>
      </c>
      <c r="K97" s="138"/>
      <c r="L97" s="15" t="s">
        <v>175</v>
      </c>
      <c r="M97" s="131">
        <f t="shared" si="16"/>
        <v>79</v>
      </c>
      <c r="N97" s="25">
        <f t="shared" si="13"/>
        <v>0</v>
      </c>
      <c r="O97" s="25">
        <f t="shared" si="14"/>
        <v>0</v>
      </c>
      <c r="P97" s="25">
        <f t="shared" si="15"/>
        <v>0</v>
      </c>
      <c r="R97" s="15" t="s">
        <v>273</v>
      </c>
      <c r="S97" s="27">
        <v>0</v>
      </c>
      <c r="T97" s="94"/>
      <c r="U97" s="27">
        <v>0</v>
      </c>
      <c r="V97" s="94"/>
      <c r="W97" s="27">
        <v>0</v>
      </c>
      <c r="X97" s="94"/>
    </row>
    <row r="98" spans="2:24" ht="12" thickBot="1">
      <c r="B98" s="191" t="s">
        <v>524</v>
      </c>
      <c r="C98" s="199">
        <v>80</v>
      </c>
      <c r="D98" s="200" t="s">
        <v>511</v>
      </c>
      <c r="E98" s="196"/>
      <c r="F98" s="201">
        <v>0</v>
      </c>
      <c r="G98" s="202"/>
      <c r="H98" s="201">
        <v>0</v>
      </c>
      <c r="I98" s="201"/>
      <c r="J98" s="201">
        <v>0</v>
      </c>
      <c r="K98" s="138"/>
      <c r="L98" s="191" t="s">
        <v>176</v>
      </c>
      <c r="M98" s="192">
        <f t="shared" si="16"/>
        <v>80</v>
      </c>
      <c r="N98" s="203">
        <f t="shared" si="13"/>
        <v>0</v>
      </c>
      <c r="O98" s="203">
        <f t="shared" si="14"/>
        <v>0</v>
      </c>
      <c r="P98" s="203">
        <f t="shared" si="15"/>
        <v>0</v>
      </c>
      <c r="R98" s="191" t="s">
        <v>220</v>
      </c>
      <c r="S98" s="204">
        <v>0</v>
      </c>
      <c r="T98" s="205"/>
      <c r="U98" s="204">
        <v>0</v>
      </c>
      <c r="V98" s="205"/>
      <c r="W98" s="204">
        <v>0</v>
      </c>
      <c r="X98" s="205"/>
    </row>
    <row r="99" spans="2:24">
      <c r="B99" s="5" t="s">
        <v>525</v>
      </c>
      <c r="C99" s="140"/>
      <c r="D99" s="141"/>
      <c r="E99" s="32"/>
      <c r="F99" s="9"/>
      <c r="G99" s="9"/>
      <c r="H99" s="9"/>
      <c r="I99" s="9"/>
      <c r="J99" s="9"/>
      <c r="K99" s="138"/>
      <c r="L99" s="5" t="s">
        <v>177</v>
      </c>
      <c r="M99" s="131"/>
      <c r="N99" s="29"/>
      <c r="O99" s="29"/>
      <c r="P99" s="29"/>
      <c r="R99" s="5" t="s">
        <v>177</v>
      </c>
      <c r="S99" s="29">
        <v>0</v>
      </c>
      <c r="T99" s="92"/>
      <c r="U99" s="29">
        <v>0</v>
      </c>
      <c r="V99" s="92"/>
      <c r="W99" s="29">
        <v>0</v>
      </c>
      <c r="X99" s="92"/>
    </row>
    <row r="100" spans="2:24" ht="22.5">
      <c r="B100" s="28" t="s">
        <v>526</v>
      </c>
      <c r="C100" s="140">
        <v>81</v>
      </c>
      <c r="D100" s="141" t="s">
        <v>527</v>
      </c>
      <c r="E100" s="15"/>
      <c r="F100" s="142">
        <v>10000</v>
      </c>
      <c r="G100" s="142"/>
      <c r="H100" s="142">
        <v>0</v>
      </c>
      <c r="I100" s="142"/>
      <c r="J100" s="142">
        <v>10000</v>
      </c>
      <c r="K100" s="138"/>
      <c r="L100" s="10" t="s">
        <v>528</v>
      </c>
      <c r="M100" s="131">
        <f t="shared" ref="M100:M107" si="17">C100</f>
        <v>81</v>
      </c>
      <c r="N100" s="25">
        <f t="shared" si="13"/>
        <v>10000</v>
      </c>
      <c r="O100" s="25">
        <f t="shared" si="14"/>
        <v>10000</v>
      </c>
      <c r="P100" s="25">
        <f t="shared" si="15"/>
        <v>0</v>
      </c>
      <c r="R100" s="10" t="s">
        <v>622</v>
      </c>
      <c r="S100" s="27">
        <v>2020.610224287735</v>
      </c>
      <c r="T100" s="94">
        <v>9.5773769790235969E-5</v>
      </c>
      <c r="U100" s="27">
        <v>2010.0502512562816</v>
      </c>
      <c r="V100" s="94">
        <v>1.0686500583771468E-4</v>
      </c>
      <c r="W100" s="27">
        <v>2010.454362685967</v>
      </c>
      <c r="X100" s="94">
        <v>1.3059028270393343E-4</v>
      </c>
    </row>
    <row r="101" spans="2:24" ht="22.5">
      <c r="B101" s="28" t="s">
        <v>529</v>
      </c>
      <c r="C101" s="140">
        <v>82</v>
      </c>
      <c r="D101" s="141" t="s">
        <v>527</v>
      </c>
      <c r="E101" s="15"/>
      <c r="F101" s="142">
        <v>0</v>
      </c>
      <c r="G101" s="142"/>
      <c r="H101" s="142">
        <v>0</v>
      </c>
      <c r="I101" s="142"/>
      <c r="J101" s="142">
        <v>0</v>
      </c>
      <c r="K101" s="138"/>
      <c r="L101" s="10" t="s">
        <v>530</v>
      </c>
      <c r="M101" s="131">
        <f t="shared" si="17"/>
        <v>82</v>
      </c>
      <c r="N101" s="25">
        <f t="shared" si="13"/>
        <v>0</v>
      </c>
      <c r="O101" s="25">
        <f t="shared" si="14"/>
        <v>0</v>
      </c>
      <c r="P101" s="25">
        <f t="shared" si="15"/>
        <v>0</v>
      </c>
      <c r="R101" s="10" t="s">
        <v>623</v>
      </c>
      <c r="S101" s="27">
        <v>0</v>
      </c>
      <c r="T101" s="94"/>
      <c r="U101" s="27">
        <v>0</v>
      </c>
      <c r="V101" s="94"/>
      <c r="W101" s="27">
        <v>0</v>
      </c>
      <c r="X101" s="94"/>
    </row>
    <row r="102" spans="2:24" ht="22.5">
      <c r="B102" s="28" t="s">
        <v>531</v>
      </c>
      <c r="C102" s="140">
        <v>83</v>
      </c>
      <c r="D102" s="141" t="s">
        <v>527</v>
      </c>
      <c r="E102" s="15"/>
      <c r="F102" s="142">
        <v>0</v>
      </c>
      <c r="G102" s="142"/>
      <c r="H102" s="142">
        <v>0</v>
      </c>
      <c r="I102" s="142"/>
      <c r="J102" s="142">
        <v>0</v>
      </c>
      <c r="K102" s="138"/>
      <c r="L102" s="10" t="s">
        <v>532</v>
      </c>
      <c r="M102" s="131">
        <f t="shared" si="17"/>
        <v>83</v>
      </c>
      <c r="N102" s="25">
        <f t="shared" si="13"/>
        <v>0</v>
      </c>
      <c r="O102" s="25">
        <f t="shared" si="14"/>
        <v>0</v>
      </c>
      <c r="P102" s="25">
        <f t="shared" si="15"/>
        <v>0</v>
      </c>
      <c r="R102" s="10" t="s">
        <v>624</v>
      </c>
      <c r="S102" s="27">
        <v>0</v>
      </c>
      <c r="T102" s="94"/>
      <c r="U102" s="27">
        <v>0</v>
      </c>
      <c r="V102" s="94"/>
      <c r="W102" s="27">
        <v>0</v>
      </c>
      <c r="X102" s="94"/>
    </row>
    <row r="103" spans="2:24" ht="22.5">
      <c r="B103" s="28" t="s">
        <v>533</v>
      </c>
      <c r="C103" s="140">
        <v>84</v>
      </c>
      <c r="D103" s="141" t="s">
        <v>527</v>
      </c>
      <c r="E103" s="15"/>
      <c r="F103" s="142">
        <v>0</v>
      </c>
      <c r="G103" s="142"/>
      <c r="H103" s="142">
        <v>0</v>
      </c>
      <c r="I103" s="142"/>
      <c r="J103" s="142">
        <v>0</v>
      </c>
      <c r="K103" s="138"/>
      <c r="L103" s="10" t="s">
        <v>534</v>
      </c>
      <c r="M103" s="131">
        <f t="shared" si="17"/>
        <v>84</v>
      </c>
      <c r="N103" s="25">
        <f t="shared" si="13"/>
        <v>0</v>
      </c>
      <c r="O103" s="25">
        <f t="shared" si="14"/>
        <v>0</v>
      </c>
      <c r="P103" s="25">
        <f t="shared" si="15"/>
        <v>0</v>
      </c>
      <c r="R103" s="10" t="s">
        <v>625</v>
      </c>
      <c r="S103" s="27">
        <v>0</v>
      </c>
      <c r="T103" s="94"/>
      <c r="U103" s="27">
        <v>0</v>
      </c>
      <c r="V103" s="94"/>
      <c r="W103" s="27">
        <v>0</v>
      </c>
      <c r="X103" s="94"/>
    </row>
    <row r="104" spans="2:24">
      <c r="B104" s="28" t="s">
        <v>535</v>
      </c>
      <c r="C104" s="140">
        <v>85</v>
      </c>
      <c r="D104" s="141" t="s">
        <v>527</v>
      </c>
      <c r="E104" s="15"/>
      <c r="F104" s="142">
        <v>0</v>
      </c>
      <c r="G104" s="142"/>
      <c r="H104" s="142">
        <v>0</v>
      </c>
      <c r="I104" s="142"/>
      <c r="J104" s="142">
        <v>0</v>
      </c>
      <c r="K104" s="138"/>
      <c r="L104" s="10" t="s">
        <v>536</v>
      </c>
      <c r="M104" s="131">
        <f t="shared" si="17"/>
        <v>85</v>
      </c>
      <c r="N104" s="25">
        <f t="shared" si="13"/>
        <v>0</v>
      </c>
      <c r="O104" s="25">
        <f t="shared" si="14"/>
        <v>0</v>
      </c>
      <c r="P104" s="25">
        <f t="shared" si="15"/>
        <v>0</v>
      </c>
      <c r="R104" s="10" t="s">
        <v>626</v>
      </c>
      <c r="S104" s="27">
        <v>0</v>
      </c>
      <c r="T104" s="94"/>
      <c r="U104" s="27">
        <v>0</v>
      </c>
      <c r="V104" s="94"/>
      <c r="W104" s="27">
        <v>0</v>
      </c>
      <c r="X104" s="94"/>
    </row>
    <row r="105" spans="2:24" ht="12" thickBot="1">
      <c r="B105" s="191" t="s">
        <v>537</v>
      </c>
      <c r="C105" s="199">
        <v>86</v>
      </c>
      <c r="D105" s="200" t="s">
        <v>527</v>
      </c>
      <c r="E105" s="196"/>
      <c r="F105" s="198">
        <v>10000</v>
      </c>
      <c r="G105" s="189"/>
      <c r="H105" s="198">
        <v>0</v>
      </c>
      <c r="I105" s="198"/>
      <c r="J105" s="198">
        <v>10000</v>
      </c>
      <c r="K105" s="138"/>
      <c r="L105" s="191" t="s">
        <v>183</v>
      </c>
      <c r="M105" s="192">
        <f t="shared" si="17"/>
        <v>86</v>
      </c>
      <c r="N105" s="203">
        <f t="shared" si="13"/>
        <v>10000</v>
      </c>
      <c r="O105" s="203">
        <f t="shared" si="14"/>
        <v>10000</v>
      </c>
      <c r="P105" s="203">
        <f t="shared" si="15"/>
        <v>0</v>
      </c>
      <c r="R105" s="191" t="s">
        <v>220</v>
      </c>
      <c r="S105" s="204">
        <v>2020.610224287735</v>
      </c>
      <c r="T105" s="205">
        <v>9.5773769790235969E-5</v>
      </c>
      <c r="U105" s="204">
        <v>2010.0502512562816</v>
      </c>
      <c r="V105" s="205">
        <v>1.0686500583771468E-4</v>
      </c>
      <c r="W105" s="204">
        <v>2010.454362685967</v>
      </c>
      <c r="X105" s="205">
        <v>1.3059028270393343E-4</v>
      </c>
    </row>
    <row r="106" spans="2:24">
      <c r="B106" s="5" t="s">
        <v>538</v>
      </c>
      <c r="C106" s="140">
        <v>87</v>
      </c>
      <c r="D106" s="141" t="s">
        <v>527</v>
      </c>
      <c r="E106" s="32"/>
      <c r="F106" s="142">
        <v>0</v>
      </c>
      <c r="G106" s="142"/>
      <c r="H106" s="142">
        <v>0</v>
      </c>
      <c r="I106" s="142"/>
      <c r="J106" s="142">
        <v>0</v>
      </c>
      <c r="K106" s="138"/>
      <c r="L106" s="5" t="s">
        <v>184</v>
      </c>
      <c r="M106" s="131">
        <f t="shared" si="17"/>
        <v>87</v>
      </c>
      <c r="N106" s="25">
        <f t="shared" si="13"/>
        <v>0</v>
      </c>
      <c r="O106" s="25">
        <f t="shared" si="14"/>
        <v>0</v>
      </c>
      <c r="P106" s="25">
        <f t="shared" si="15"/>
        <v>0</v>
      </c>
      <c r="R106" s="5" t="s">
        <v>279</v>
      </c>
      <c r="S106" s="27">
        <v>0</v>
      </c>
      <c r="T106" s="94"/>
      <c r="U106" s="27">
        <v>0</v>
      </c>
      <c r="V106" s="94"/>
      <c r="W106" s="27">
        <v>0</v>
      </c>
      <c r="X106" s="94"/>
    </row>
    <row r="107" spans="2:24">
      <c r="B107" s="5" t="s">
        <v>539</v>
      </c>
      <c r="C107" s="140">
        <v>88</v>
      </c>
      <c r="D107" s="141" t="s">
        <v>527</v>
      </c>
      <c r="E107" s="32"/>
      <c r="F107" s="142">
        <v>75386</v>
      </c>
      <c r="G107" s="142"/>
      <c r="H107" s="142">
        <v>0</v>
      </c>
      <c r="I107" s="142"/>
      <c r="J107" s="142">
        <v>75386</v>
      </c>
      <c r="K107" s="138"/>
      <c r="L107" s="5" t="s">
        <v>185</v>
      </c>
      <c r="M107" s="131">
        <f t="shared" si="17"/>
        <v>88</v>
      </c>
      <c r="N107" s="25">
        <f t="shared" si="13"/>
        <v>75386</v>
      </c>
      <c r="O107" s="25">
        <f t="shared" si="14"/>
        <v>75386</v>
      </c>
      <c r="P107" s="25">
        <f t="shared" si="15"/>
        <v>0</v>
      </c>
      <c r="R107" s="5" t="s">
        <v>280</v>
      </c>
      <c r="S107" s="27">
        <v>15232.572236815518</v>
      </c>
      <c r="T107" s="94">
        <v>7.2200014094067286E-4</v>
      </c>
      <c r="U107" s="27">
        <v>15152.964824120603</v>
      </c>
      <c r="V107" s="94">
        <v>8.0561253300819589E-4</v>
      </c>
      <c r="W107" s="27">
        <v>15156.011258544431</v>
      </c>
      <c r="X107" s="94">
        <v>9.8446790519187257E-4</v>
      </c>
    </row>
    <row r="108" spans="2:24">
      <c r="B108" s="5" t="s">
        <v>540</v>
      </c>
      <c r="C108" s="140"/>
      <c r="D108" s="141"/>
      <c r="E108" s="32"/>
      <c r="F108" s="142"/>
      <c r="G108" s="142"/>
      <c r="H108" s="142"/>
      <c r="I108" s="142"/>
      <c r="J108" s="142"/>
      <c r="K108" s="138"/>
      <c r="L108" s="5" t="s">
        <v>186</v>
      </c>
      <c r="M108" s="131"/>
      <c r="N108" s="25"/>
      <c r="O108" s="25"/>
      <c r="P108" s="25"/>
      <c r="R108" s="5" t="s">
        <v>186</v>
      </c>
      <c r="S108" s="27"/>
      <c r="T108" s="94"/>
      <c r="U108" s="27"/>
      <c r="V108" s="94"/>
      <c r="W108" s="27"/>
      <c r="X108" s="94"/>
    </row>
    <row r="109" spans="2:24">
      <c r="B109" s="28" t="s">
        <v>541</v>
      </c>
      <c r="C109" s="140">
        <v>89</v>
      </c>
      <c r="D109" s="141" t="s">
        <v>527</v>
      </c>
      <c r="E109" s="15"/>
      <c r="F109" s="142">
        <v>2000</v>
      </c>
      <c r="G109" s="142"/>
      <c r="H109" s="142">
        <v>0</v>
      </c>
      <c r="I109" s="142"/>
      <c r="J109" s="142">
        <v>2000</v>
      </c>
      <c r="K109" s="138"/>
      <c r="L109" s="15" t="s">
        <v>542</v>
      </c>
      <c r="M109" s="131">
        <f t="shared" ref="M109:M115" si="18">C109</f>
        <v>89</v>
      </c>
      <c r="N109" s="25">
        <f t="shared" si="13"/>
        <v>2000</v>
      </c>
      <c r="O109" s="25">
        <f t="shared" si="14"/>
        <v>2000</v>
      </c>
      <c r="P109" s="25">
        <f t="shared" si="15"/>
        <v>0</v>
      </c>
      <c r="R109" s="15" t="s">
        <v>627</v>
      </c>
      <c r="S109" s="27">
        <v>404.122044857547</v>
      </c>
      <c r="T109" s="94">
        <v>1.9154753958047192E-5</v>
      </c>
      <c r="U109" s="27">
        <v>402.0100502512563</v>
      </c>
      <c r="V109" s="94">
        <v>2.1373001167542937E-5</v>
      </c>
      <c r="W109" s="27">
        <v>402.09087253719338</v>
      </c>
      <c r="X109" s="94">
        <v>2.6118056540786687E-5</v>
      </c>
    </row>
    <row r="110" spans="2:24">
      <c r="B110" s="28" t="s">
        <v>543</v>
      </c>
      <c r="C110" s="140">
        <v>90</v>
      </c>
      <c r="D110" s="141" t="s">
        <v>527</v>
      </c>
      <c r="E110" s="15"/>
      <c r="F110" s="142">
        <v>0</v>
      </c>
      <c r="G110" s="142"/>
      <c r="H110" s="142">
        <v>0</v>
      </c>
      <c r="I110" s="142"/>
      <c r="J110" s="142">
        <v>0</v>
      </c>
      <c r="K110" s="138"/>
      <c r="L110" s="15" t="s">
        <v>544</v>
      </c>
      <c r="M110" s="131">
        <f t="shared" si="18"/>
        <v>90</v>
      </c>
      <c r="N110" s="25">
        <f t="shared" si="13"/>
        <v>0</v>
      </c>
      <c r="O110" s="25">
        <f t="shared" si="14"/>
        <v>0</v>
      </c>
      <c r="P110" s="25">
        <f t="shared" si="15"/>
        <v>0</v>
      </c>
      <c r="R110" s="15" t="s">
        <v>628</v>
      </c>
      <c r="S110" s="27">
        <v>0</v>
      </c>
      <c r="T110" s="94"/>
      <c r="U110" s="27">
        <v>0</v>
      </c>
      <c r="V110" s="94"/>
      <c r="W110" s="27">
        <v>0</v>
      </c>
      <c r="X110" s="94"/>
    </row>
    <row r="111" spans="2:24">
      <c r="B111" s="28" t="s">
        <v>545</v>
      </c>
      <c r="C111" s="140">
        <v>91</v>
      </c>
      <c r="D111" s="141" t="s">
        <v>527</v>
      </c>
      <c r="E111" s="15"/>
      <c r="F111" s="142">
        <v>118848</v>
      </c>
      <c r="G111" s="142"/>
      <c r="H111" s="142">
        <v>0</v>
      </c>
      <c r="I111" s="142"/>
      <c r="J111" s="142">
        <v>118848</v>
      </c>
      <c r="K111" s="138"/>
      <c r="L111" s="15" t="s">
        <v>546</v>
      </c>
      <c r="M111" s="131">
        <f t="shared" si="18"/>
        <v>91</v>
      </c>
      <c r="N111" s="25">
        <f t="shared" si="13"/>
        <v>118848</v>
      </c>
      <c r="O111" s="25">
        <f t="shared" si="14"/>
        <v>118848</v>
      </c>
      <c r="P111" s="25">
        <f t="shared" si="15"/>
        <v>0</v>
      </c>
      <c r="R111" s="15" t="s">
        <v>629</v>
      </c>
      <c r="S111" s="27">
        <v>24014.548393614874</v>
      </c>
      <c r="T111" s="94">
        <v>1.1382520992029965E-3</v>
      </c>
      <c r="U111" s="27">
        <v>23889.045226130656</v>
      </c>
      <c r="V111" s="94">
        <v>1.2700692213800716E-3</v>
      </c>
      <c r="W111" s="27">
        <v>23893.848009650181</v>
      </c>
      <c r="X111" s="94">
        <v>1.5520393918797082E-3</v>
      </c>
    </row>
    <row r="112" spans="2:24" ht="12" thickBot="1">
      <c r="B112" s="191" t="s">
        <v>547</v>
      </c>
      <c r="C112" s="199">
        <v>92</v>
      </c>
      <c r="D112" s="200" t="s">
        <v>527</v>
      </c>
      <c r="E112" s="196"/>
      <c r="F112" s="198">
        <v>120848</v>
      </c>
      <c r="G112" s="189"/>
      <c r="H112" s="198">
        <v>0</v>
      </c>
      <c r="I112" s="198"/>
      <c r="J112" s="198">
        <v>120848</v>
      </c>
      <c r="K112" s="138"/>
      <c r="L112" s="191" t="s">
        <v>190</v>
      </c>
      <c r="M112" s="192">
        <f t="shared" si="18"/>
        <v>92</v>
      </c>
      <c r="N112" s="203">
        <f t="shared" si="13"/>
        <v>120848</v>
      </c>
      <c r="O112" s="203">
        <f t="shared" si="14"/>
        <v>120848</v>
      </c>
      <c r="P112" s="203">
        <f t="shared" si="15"/>
        <v>0</v>
      </c>
      <c r="R112" s="191" t="s">
        <v>220</v>
      </c>
      <c r="S112" s="204">
        <v>24418.670438472422</v>
      </c>
      <c r="T112" s="205">
        <v>1.1574068531610437E-3</v>
      </c>
      <c r="U112" s="204">
        <v>24291.055276381914</v>
      </c>
      <c r="V112" s="205">
        <v>1.2914422225476145E-3</v>
      </c>
      <c r="W112" s="204">
        <v>24295.938882187373</v>
      </c>
      <c r="X112" s="205">
        <v>1.5781574484204947E-3</v>
      </c>
    </row>
    <row r="113" spans="2:24">
      <c r="B113" s="28" t="s">
        <v>548</v>
      </c>
      <c r="C113" s="140">
        <v>93</v>
      </c>
      <c r="D113" s="141" t="s">
        <v>527</v>
      </c>
      <c r="E113" s="15"/>
      <c r="F113" s="142">
        <v>0</v>
      </c>
      <c r="G113" s="142"/>
      <c r="H113" s="142">
        <v>0</v>
      </c>
      <c r="I113" s="142"/>
      <c r="J113" s="142">
        <v>0</v>
      </c>
      <c r="K113" s="138"/>
      <c r="L113" s="15" t="s">
        <v>191</v>
      </c>
      <c r="M113" s="131">
        <f t="shared" si="18"/>
        <v>93</v>
      </c>
      <c r="N113" s="25">
        <f t="shared" si="13"/>
        <v>0</v>
      </c>
      <c r="O113" s="25">
        <f t="shared" si="14"/>
        <v>0</v>
      </c>
      <c r="P113" s="25">
        <f t="shared" si="15"/>
        <v>0</v>
      </c>
      <c r="R113" s="15" t="s">
        <v>284</v>
      </c>
      <c r="S113" s="27">
        <v>0</v>
      </c>
      <c r="T113" s="94"/>
      <c r="U113" s="27">
        <v>0</v>
      </c>
      <c r="V113" s="94"/>
      <c r="W113" s="27">
        <v>0</v>
      </c>
      <c r="X113" s="94"/>
    </row>
    <row r="114" spans="2:24" ht="22.5">
      <c r="B114" s="28" t="s">
        <v>549</v>
      </c>
      <c r="C114" s="140">
        <v>94</v>
      </c>
      <c r="D114" s="141" t="s">
        <v>527</v>
      </c>
      <c r="E114" s="15"/>
      <c r="F114" s="142">
        <v>0</v>
      </c>
      <c r="G114" s="142"/>
      <c r="H114" s="142">
        <v>0</v>
      </c>
      <c r="I114" s="142"/>
      <c r="J114" s="142">
        <v>0</v>
      </c>
      <c r="K114" s="138"/>
      <c r="L114" s="15" t="s">
        <v>192</v>
      </c>
      <c r="M114" s="131">
        <f t="shared" si="18"/>
        <v>94</v>
      </c>
      <c r="N114" s="25">
        <f t="shared" si="13"/>
        <v>0</v>
      </c>
      <c r="O114" s="25">
        <f t="shared" si="14"/>
        <v>0</v>
      </c>
      <c r="P114" s="25">
        <f t="shared" si="15"/>
        <v>0</v>
      </c>
      <c r="R114" s="15" t="s">
        <v>285</v>
      </c>
      <c r="S114" s="27">
        <v>0</v>
      </c>
      <c r="T114" s="94"/>
      <c r="U114" s="27">
        <v>0</v>
      </c>
      <c r="V114" s="94"/>
      <c r="W114" s="27">
        <v>0</v>
      </c>
      <c r="X114" s="94"/>
    </row>
    <row r="115" spans="2:24" ht="22.5">
      <c r="B115" s="28" t="s">
        <v>550</v>
      </c>
      <c r="C115" s="140">
        <v>95</v>
      </c>
      <c r="D115" s="141" t="s">
        <v>527</v>
      </c>
      <c r="E115" s="15"/>
      <c r="F115" s="142">
        <v>0</v>
      </c>
      <c r="G115" s="142"/>
      <c r="H115" s="142">
        <v>0</v>
      </c>
      <c r="I115" s="142"/>
      <c r="J115" s="142">
        <v>0</v>
      </c>
      <c r="K115" s="138"/>
      <c r="L115" s="15" t="s">
        <v>193</v>
      </c>
      <c r="M115" s="131">
        <f t="shared" si="18"/>
        <v>95</v>
      </c>
      <c r="N115" s="25">
        <f t="shared" si="13"/>
        <v>0</v>
      </c>
      <c r="O115" s="25">
        <f t="shared" si="14"/>
        <v>0</v>
      </c>
      <c r="P115" s="25">
        <f t="shared" si="15"/>
        <v>0</v>
      </c>
      <c r="R115" s="15" t="s">
        <v>286</v>
      </c>
      <c r="S115" s="27">
        <v>409508.78965447564</v>
      </c>
      <c r="T115" s="94">
        <v>1.9410077250930982E-2</v>
      </c>
      <c r="U115" s="27">
        <v>0</v>
      </c>
      <c r="V115" s="94"/>
      <c r="W115" s="27">
        <v>0</v>
      </c>
      <c r="X115" s="94"/>
    </row>
    <row r="116" spans="2:24">
      <c r="B116" s="144" t="s">
        <v>551</v>
      </c>
      <c r="C116" s="140"/>
      <c r="D116" s="141"/>
      <c r="E116" s="15"/>
      <c r="F116" s="142"/>
      <c r="G116" s="142"/>
      <c r="H116" s="142"/>
      <c r="I116" s="142"/>
      <c r="J116" s="142"/>
      <c r="K116" s="138"/>
      <c r="L116" s="32" t="s">
        <v>194</v>
      </c>
      <c r="M116" s="131"/>
      <c r="N116" s="25"/>
      <c r="O116" s="25"/>
      <c r="P116" s="25"/>
      <c r="R116" s="32" t="s">
        <v>287</v>
      </c>
      <c r="S116" s="27">
        <v>0</v>
      </c>
      <c r="T116" s="94"/>
      <c r="U116" s="27">
        <v>0</v>
      </c>
      <c r="V116" s="94"/>
      <c r="W116" s="27">
        <v>0</v>
      </c>
      <c r="X116" s="94"/>
    </row>
    <row r="117" spans="2:24">
      <c r="B117" s="10" t="s">
        <v>552</v>
      </c>
      <c r="C117" s="140">
        <v>96</v>
      </c>
      <c r="D117" s="141" t="s">
        <v>527</v>
      </c>
      <c r="E117" s="15"/>
      <c r="F117" s="142">
        <v>6060283</v>
      </c>
      <c r="G117" s="142"/>
      <c r="H117" s="142">
        <v>0</v>
      </c>
      <c r="I117" s="142"/>
      <c r="J117" s="142">
        <v>12484000</v>
      </c>
      <c r="K117" s="138"/>
      <c r="L117" s="5" t="s">
        <v>195</v>
      </c>
      <c r="M117" s="131">
        <f>C117</f>
        <v>96</v>
      </c>
      <c r="N117" s="25">
        <f>F117</f>
        <v>6060283</v>
      </c>
      <c r="O117" s="25">
        <f>J117</f>
        <v>12484000</v>
      </c>
      <c r="P117" s="25">
        <f t="shared" si="15"/>
        <v>6423717</v>
      </c>
      <c r="R117" s="5" t="s">
        <v>195</v>
      </c>
      <c r="S117" s="27">
        <v>0</v>
      </c>
      <c r="T117" s="94"/>
      <c r="U117" s="27">
        <v>1218147.3366834172</v>
      </c>
      <c r="V117" s="94">
        <v>6.4763217817320307E-2</v>
      </c>
      <c r="W117" s="27">
        <v>2509851.2263771612</v>
      </c>
      <c r="X117" s="94">
        <v>0.1630289089275905</v>
      </c>
    </row>
    <row r="118" spans="2:24">
      <c r="B118" s="12" t="s">
        <v>553</v>
      </c>
      <c r="C118" s="140">
        <v>97</v>
      </c>
      <c r="D118" s="141" t="s">
        <v>527</v>
      </c>
      <c r="E118" s="15"/>
      <c r="F118" s="142">
        <v>0</v>
      </c>
      <c r="G118" s="142"/>
      <c r="H118" s="142">
        <v>0</v>
      </c>
      <c r="I118" s="142"/>
      <c r="J118" s="142">
        <v>0</v>
      </c>
      <c r="K118" s="138"/>
      <c r="L118" s="5" t="s">
        <v>196</v>
      </c>
      <c r="M118" s="131">
        <f>C118</f>
        <v>97</v>
      </c>
      <c r="N118" s="25">
        <f t="shared" si="13"/>
        <v>0</v>
      </c>
      <c r="O118" s="25">
        <f t="shared" si="14"/>
        <v>0</v>
      </c>
      <c r="P118" s="25">
        <f t="shared" si="15"/>
        <v>0</v>
      </c>
      <c r="R118" s="5" t="s">
        <v>196</v>
      </c>
      <c r="S118" s="27">
        <v>0</v>
      </c>
      <c r="T118" s="94"/>
      <c r="U118" s="27">
        <v>0</v>
      </c>
      <c r="V118" s="94"/>
      <c r="W118" s="27">
        <v>0</v>
      </c>
      <c r="X118" s="94"/>
    </row>
    <row r="119" spans="2:24" ht="22.5">
      <c r="B119" s="146" t="s">
        <v>554</v>
      </c>
      <c r="C119" s="140"/>
      <c r="D119" s="141"/>
      <c r="E119" s="15"/>
      <c r="F119" s="142"/>
      <c r="G119" s="142"/>
      <c r="H119" s="142"/>
      <c r="I119" s="142"/>
      <c r="J119" s="142"/>
      <c r="K119" s="138"/>
      <c r="L119" s="5" t="s">
        <v>197</v>
      </c>
      <c r="M119" s="131"/>
      <c r="N119" s="25"/>
      <c r="O119" s="25"/>
      <c r="P119" s="25"/>
      <c r="R119" s="5" t="s">
        <v>288</v>
      </c>
      <c r="S119" s="27">
        <v>0</v>
      </c>
      <c r="T119" s="94"/>
      <c r="U119" s="27">
        <v>0</v>
      </c>
      <c r="V119" s="94"/>
      <c r="W119" s="27">
        <v>0</v>
      </c>
      <c r="X119" s="94"/>
    </row>
    <row r="120" spans="2:24">
      <c r="B120" s="12" t="s">
        <v>555</v>
      </c>
      <c r="C120" s="140">
        <v>98</v>
      </c>
      <c r="D120" s="141" t="s">
        <v>527</v>
      </c>
      <c r="E120" s="15"/>
      <c r="F120" s="142">
        <v>6423717</v>
      </c>
      <c r="G120" s="142"/>
      <c r="H120" s="142">
        <v>0</v>
      </c>
      <c r="I120" s="142"/>
      <c r="J120" s="142">
        <v>1789174</v>
      </c>
      <c r="K120" s="138"/>
      <c r="L120" s="5" t="s">
        <v>195</v>
      </c>
      <c r="M120" s="131">
        <f t="shared" ref="M120:M126" si="19">C120</f>
        <v>98</v>
      </c>
      <c r="N120" s="25">
        <f t="shared" si="13"/>
        <v>6423717</v>
      </c>
      <c r="O120" s="25">
        <f t="shared" si="14"/>
        <v>1789174</v>
      </c>
      <c r="P120" s="25">
        <f t="shared" si="15"/>
        <v>-4634543</v>
      </c>
      <c r="R120" s="5" t="s">
        <v>195</v>
      </c>
      <c r="S120" s="27">
        <v>1975137.1994344301</v>
      </c>
      <c r="T120" s="94">
        <v>9.361841941062414E-2</v>
      </c>
      <c r="U120" s="27">
        <v>1291199.3969849248</v>
      </c>
      <c r="V120" s="94">
        <v>6.8647055470482707E-2</v>
      </c>
      <c r="W120" s="27">
        <v>359705.26739043021</v>
      </c>
      <c r="X120" s="94">
        <v>2.3364873846652739E-2</v>
      </c>
    </row>
    <row r="121" spans="2:24">
      <c r="B121" s="12" t="s">
        <v>556</v>
      </c>
      <c r="C121" s="140">
        <v>99</v>
      </c>
      <c r="D121" s="141" t="s">
        <v>527</v>
      </c>
      <c r="E121" s="15"/>
      <c r="F121" s="142">
        <v>0</v>
      </c>
      <c r="G121" s="142"/>
      <c r="H121" s="142">
        <v>0</v>
      </c>
      <c r="I121" s="142"/>
      <c r="J121" s="142">
        <v>0</v>
      </c>
      <c r="K121" s="138"/>
      <c r="L121" s="5" t="s">
        <v>196</v>
      </c>
      <c r="M121" s="131">
        <f t="shared" si="19"/>
        <v>99</v>
      </c>
      <c r="N121" s="25">
        <f t="shared" si="13"/>
        <v>0</v>
      </c>
      <c r="O121" s="25">
        <f t="shared" si="14"/>
        <v>0</v>
      </c>
      <c r="P121" s="25">
        <f t="shared" si="15"/>
        <v>0</v>
      </c>
      <c r="R121" s="5" t="s">
        <v>196</v>
      </c>
      <c r="S121" s="27">
        <v>0</v>
      </c>
      <c r="T121" s="94"/>
      <c r="U121" s="27">
        <v>0</v>
      </c>
      <c r="V121" s="94"/>
      <c r="W121" s="27">
        <v>0</v>
      </c>
      <c r="X121" s="94"/>
    </row>
    <row r="122" spans="2:24">
      <c r="B122" s="10" t="s">
        <v>557</v>
      </c>
      <c r="C122" s="140">
        <v>100</v>
      </c>
      <c r="D122" s="141" t="s">
        <v>527</v>
      </c>
      <c r="E122" s="15"/>
      <c r="F122" s="142">
        <v>0</v>
      </c>
      <c r="G122" s="142"/>
      <c r="H122" s="142">
        <v>0</v>
      </c>
      <c r="I122" s="142"/>
      <c r="J122" s="142">
        <v>0</v>
      </c>
      <c r="K122" s="138"/>
      <c r="L122" s="10" t="s">
        <v>198</v>
      </c>
      <c r="M122" s="131">
        <f t="shared" si="19"/>
        <v>100</v>
      </c>
      <c r="N122" s="25">
        <f t="shared" si="13"/>
        <v>0</v>
      </c>
      <c r="O122" s="25">
        <f t="shared" si="14"/>
        <v>0</v>
      </c>
      <c r="P122" s="25">
        <f t="shared" si="15"/>
        <v>0</v>
      </c>
      <c r="R122" s="10" t="s">
        <v>289</v>
      </c>
      <c r="S122" s="27">
        <v>0</v>
      </c>
      <c r="T122" s="94"/>
      <c r="U122" s="27">
        <v>0</v>
      </c>
      <c r="V122" s="94"/>
      <c r="W122" s="27">
        <v>0</v>
      </c>
      <c r="X122" s="94"/>
    </row>
    <row r="123" spans="2:24" ht="34.5" thickBot="1">
      <c r="B123" s="191" t="s">
        <v>558</v>
      </c>
      <c r="C123" s="199">
        <v>101</v>
      </c>
      <c r="D123" s="200" t="s">
        <v>527</v>
      </c>
      <c r="E123" s="194"/>
      <c r="F123" s="198">
        <v>12690234</v>
      </c>
      <c r="G123" s="189"/>
      <c r="H123" s="198">
        <v>0</v>
      </c>
      <c r="I123" s="198"/>
      <c r="J123" s="198">
        <v>14479408</v>
      </c>
      <c r="K123" s="138"/>
      <c r="L123" s="191" t="s">
        <v>199</v>
      </c>
      <c r="M123" s="192">
        <f t="shared" si="19"/>
        <v>101</v>
      </c>
      <c r="N123" s="203">
        <f t="shared" si="13"/>
        <v>12690234</v>
      </c>
      <c r="O123" s="203">
        <f t="shared" si="14"/>
        <v>14479408</v>
      </c>
      <c r="P123" s="203">
        <f t="shared" si="15"/>
        <v>1789174</v>
      </c>
      <c r="R123" s="191" t="s">
        <v>290</v>
      </c>
      <c r="S123" s="204">
        <v>1607300.2626795301</v>
      </c>
      <c r="T123" s="205">
        <v>7.6183522923585115E-2</v>
      </c>
      <c r="U123" s="204">
        <v>2550800.8040201007</v>
      </c>
      <c r="V123" s="205">
        <v>0.13561419304919653</v>
      </c>
      <c r="W123" s="204">
        <v>2911018.8982710093</v>
      </c>
      <c r="X123" s="205">
        <v>0.18908699841055956</v>
      </c>
    </row>
    <row r="124" spans="2:24">
      <c r="B124" s="10" t="s">
        <v>559</v>
      </c>
      <c r="C124" s="140">
        <v>102</v>
      </c>
      <c r="D124" s="141" t="s">
        <v>527</v>
      </c>
      <c r="E124" s="15"/>
      <c r="F124" s="13">
        <v>0</v>
      </c>
      <c r="G124" s="13"/>
      <c r="H124" s="13">
        <v>0</v>
      </c>
      <c r="I124" s="13"/>
      <c r="J124" s="13">
        <v>0</v>
      </c>
      <c r="K124" s="138"/>
      <c r="L124" s="10" t="s">
        <v>200</v>
      </c>
      <c r="M124" s="131">
        <f t="shared" si="19"/>
        <v>102</v>
      </c>
      <c r="N124" s="27">
        <f t="shared" si="13"/>
        <v>0</v>
      </c>
      <c r="O124" s="27">
        <f t="shared" si="14"/>
        <v>0</v>
      </c>
      <c r="P124" s="27">
        <f t="shared" si="15"/>
        <v>0</v>
      </c>
      <c r="R124" s="10" t="s">
        <v>291</v>
      </c>
      <c r="S124" s="27">
        <v>0</v>
      </c>
      <c r="T124" s="94"/>
      <c r="U124" s="27">
        <v>0</v>
      </c>
      <c r="V124" s="94"/>
      <c r="W124" s="27">
        <v>0</v>
      </c>
      <c r="X124" s="94"/>
    </row>
    <row r="125" spans="2:24">
      <c r="B125" s="10" t="s">
        <v>560</v>
      </c>
      <c r="C125" s="140">
        <v>103</v>
      </c>
      <c r="D125" s="141" t="s">
        <v>527</v>
      </c>
      <c r="E125" s="15"/>
      <c r="F125" s="13">
        <v>0</v>
      </c>
      <c r="G125" s="13"/>
      <c r="H125" s="13">
        <v>0</v>
      </c>
      <c r="I125" s="13"/>
      <c r="J125" s="13">
        <v>0</v>
      </c>
      <c r="K125" s="138"/>
      <c r="L125" s="10" t="s">
        <v>201</v>
      </c>
      <c r="M125" s="131">
        <f t="shared" si="19"/>
        <v>103</v>
      </c>
      <c r="N125" s="27">
        <f t="shared" si="13"/>
        <v>0</v>
      </c>
      <c r="O125" s="27">
        <f t="shared" si="14"/>
        <v>0</v>
      </c>
      <c r="P125" s="27">
        <f t="shared" si="15"/>
        <v>0</v>
      </c>
      <c r="R125" s="10" t="s">
        <v>292</v>
      </c>
      <c r="S125" s="27">
        <v>0</v>
      </c>
      <c r="T125" s="94"/>
      <c r="U125" s="27">
        <v>0</v>
      </c>
      <c r="V125" s="94"/>
      <c r="W125" s="27">
        <v>0</v>
      </c>
      <c r="X125" s="94"/>
    </row>
    <row r="126" spans="2:24" ht="12" thickBot="1">
      <c r="B126" s="191" t="s">
        <v>561</v>
      </c>
      <c r="C126" s="199">
        <v>104</v>
      </c>
      <c r="D126" s="200" t="s">
        <v>527</v>
      </c>
      <c r="E126" s="194"/>
      <c r="F126" s="198">
        <v>12690234</v>
      </c>
      <c r="G126" s="189"/>
      <c r="H126" s="198">
        <v>0</v>
      </c>
      <c r="I126" s="198"/>
      <c r="J126" s="198">
        <v>14479408</v>
      </c>
      <c r="K126" s="138"/>
      <c r="L126" s="191" t="s">
        <v>202</v>
      </c>
      <c r="M126" s="192">
        <f t="shared" si="19"/>
        <v>104</v>
      </c>
      <c r="N126" s="203">
        <f t="shared" si="13"/>
        <v>12690234</v>
      </c>
      <c r="O126" s="203">
        <f t="shared" si="14"/>
        <v>14479408</v>
      </c>
      <c r="P126" s="203">
        <f t="shared" si="15"/>
        <v>1789174</v>
      </c>
      <c r="R126" s="191" t="s">
        <v>293</v>
      </c>
      <c r="S126" s="204">
        <v>1607300.2626795301</v>
      </c>
      <c r="T126" s="205">
        <v>7.6183522923585115E-2</v>
      </c>
      <c r="U126" s="204">
        <v>2550800.8040201007</v>
      </c>
      <c r="V126" s="205">
        <v>0.13561419304919653</v>
      </c>
      <c r="W126" s="204">
        <v>2911018.8982710093</v>
      </c>
      <c r="X126" s="205">
        <v>0.18908699841055956</v>
      </c>
    </row>
    <row r="127" spans="2:24">
      <c r="B127" s="3"/>
      <c r="C127" s="147"/>
      <c r="D127" s="141"/>
      <c r="E127" s="3"/>
      <c r="F127" s="3"/>
      <c r="G127" s="3"/>
      <c r="H127" s="3"/>
      <c r="I127" s="3"/>
      <c r="J127" s="3"/>
      <c r="K127" s="138"/>
      <c r="L127" s="3"/>
      <c r="M127" s="3"/>
      <c r="N127" s="3"/>
      <c r="O127" s="3"/>
      <c r="P127" s="3"/>
      <c r="R127" s="86" t="s">
        <v>208</v>
      </c>
      <c r="S127" s="87">
        <v>21097741.361891489</v>
      </c>
      <c r="T127" s="97">
        <v>1</v>
      </c>
      <c r="U127" s="87">
        <v>18809246.633165829</v>
      </c>
      <c r="V127" s="97">
        <v>1</v>
      </c>
      <c r="W127" s="87">
        <v>15395129.875351829</v>
      </c>
      <c r="X127" s="97">
        <v>1</v>
      </c>
    </row>
    <row r="128" spans="2:24">
      <c r="B128" s="148" t="s">
        <v>562</v>
      </c>
      <c r="C128" s="149"/>
      <c r="D128" s="150"/>
      <c r="E128" s="151"/>
      <c r="F128" s="152">
        <v>93576001</v>
      </c>
      <c r="G128" s="152"/>
      <c r="H128" s="152">
        <v>0</v>
      </c>
      <c r="I128" s="152"/>
      <c r="J128" s="152">
        <v>76575376</v>
      </c>
      <c r="K128" s="152"/>
      <c r="L128" s="153" t="s">
        <v>563</v>
      </c>
      <c r="M128" s="3"/>
      <c r="N128" s="3"/>
      <c r="O128" s="3"/>
      <c r="P128" s="3"/>
      <c r="R128" s="3" t="s">
        <v>209</v>
      </c>
      <c r="S128" s="65">
        <v>-0.20206082239747047</v>
      </c>
      <c r="T128" s="65"/>
      <c r="U128" s="65">
        <v>0.20100502669811249</v>
      </c>
      <c r="V128" s="65"/>
      <c r="W128" s="65">
        <v>0</v>
      </c>
    </row>
    <row r="129" spans="2:24">
      <c r="B129" s="148" t="s">
        <v>564</v>
      </c>
      <c r="C129" s="149"/>
      <c r="D129" s="150"/>
      <c r="E129" s="151"/>
      <c r="F129" s="152">
        <v>93576001</v>
      </c>
      <c r="G129" s="152"/>
      <c r="H129" s="152">
        <v>0</v>
      </c>
      <c r="I129" s="152"/>
      <c r="J129" s="152">
        <v>76575376</v>
      </c>
      <c r="K129" s="152"/>
      <c r="L129" s="153" t="s">
        <v>565</v>
      </c>
      <c r="M129" s="3"/>
      <c r="N129" s="3"/>
      <c r="O129" s="3"/>
      <c r="P129" s="3"/>
    </row>
    <row r="130" spans="2:24">
      <c r="B130" s="154" t="s">
        <v>209</v>
      </c>
      <c r="C130" s="155"/>
      <c r="D130" s="156"/>
      <c r="E130" s="157"/>
      <c r="F130" s="158">
        <v>0</v>
      </c>
      <c r="G130" s="158"/>
      <c r="H130" s="158">
        <v>0</v>
      </c>
      <c r="I130" s="158"/>
      <c r="J130" s="158">
        <v>0</v>
      </c>
      <c r="K130" s="158"/>
      <c r="L130" s="159" t="s">
        <v>209</v>
      </c>
      <c r="M130" s="160"/>
      <c r="N130" s="160"/>
      <c r="O130" s="160"/>
      <c r="P130" s="160"/>
    </row>
    <row r="131" spans="2:24">
      <c r="B131" s="148" t="s">
        <v>566</v>
      </c>
      <c r="C131" s="149"/>
      <c r="D131" s="150"/>
      <c r="E131" s="151"/>
      <c r="F131" s="152">
        <v>12690234</v>
      </c>
      <c r="G131" s="152"/>
      <c r="H131" s="152">
        <v>0</v>
      </c>
      <c r="I131" s="152"/>
      <c r="J131" s="152">
        <v>14479408</v>
      </c>
      <c r="K131" s="152"/>
      <c r="L131" s="153" t="s">
        <v>567</v>
      </c>
      <c r="M131" s="3"/>
      <c r="N131" s="3"/>
      <c r="O131" s="3"/>
      <c r="P131" s="3"/>
    </row>
    <row r="132" spans="2:24">
      <c r="B132" s="148" t="s">
        <v>568</v>
      </c>
      <c r="C132" s="149"/>
      <c r="D132" s="150"/>
      <c r="E132" s="151"/>
      <c r="F132" s="152">
        <v>12690234</v>
      </c>
      <c r="G132" s="152"/>
      <c r="H132" s="152">
        <v>0</v>
      </c>
      <c r="I132" s="152"/>
      <c r="J132" s="152">
        <v>14479408</v>
      </c>
      <c r="K132" s="152"/>
      <c r="L132" s="153" t="s">
        <v>569</v>
      </c>
      <c r="M132" s="3"/>
      <c r="N132" s="3"/>
      <c r="O132" s="3"/>
      <c r="P132" s="3"/>
    </row>
    <row r="133" spans="2:24">
      <c r="B133" s="154" t="s">
        <v>209</v>
      </c>
      <c r="C133" s="147"/>
      <c r="D133" s="161"/>
      <c r="E133" s="153"/>
      <c r="F133" s="158">
        <v>0</v>
      </c>
      <c r="G133" s="158"/>
      <c r="H133" s="158">
        <v>0</v>
      </c>
      <c r="I133" s="158"/>
      <c r="J133" s="158">
        <v>0</v>
      </c>
      <c r="K133" s="158"/>
      <c r="L133" s="159" t="s">
        <v>209</v>
      </c>
      <c r="M133" s="3"/>
      <c r="N133" s="3"/>
      <c r="O133" s="3"/>
      <c r="P133" s="3"/>
    </row>
    <row r="139" spans="2:24">
      <c r="R139" s="10"/>
      <c r="S139" s="27"/>
      <c r="T139" s="94"/>
      <c r="U139" s="27"/>
      <c r="V139" s="94"/>
      <c r="W139" s="27"/>
      <c r="X139" s="94"/>
    </row>
    <row r="141" spans="2:24">
      <c r="R141" s="3"/>
      <c r="S141" s="3"/>
      <c r="T141" s="36"/>
      <c r="U141" s="3"/>
      <c r="V141" s="36"/>
      <c r="W141" s="3"/>
      <c r="X141" s="36"/>
    </row>
    <row r="143" spans="2:24">
      <c r="R143" s="3"/>
      <c r="S143" s="3"/>
      <c r="T143" s="36"/>
      <c r="U143" s="3"/>
      <c r="V143" s="36"/>
      <c r="W143" s="3"/>
      <c r="X143" s="36"/>
    </row>
    <row r="144" spans="2:24">
      <c r="X144" s="65"/>
    </row>
  </sheetData>
  <mergeCells count="3">
    <mergeCell ref="B2:J2"/>
    <mergeCell ref="L2:P2"/>
    <mergeCell ref="R2:X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249D8D-35D6-4586-96F2-8827040CE4DB}">
  <dimension ref="B2:W107"/>
  <sheetViews>
    <sheetView showGridLines="0" workbookViewId="0">
      <selection activeCell="L104" sqref="L104"/>
    </sheetView>
  </sheetViews>
  <sheetFormatPr defaultRowHeight="11.25"/>
  <cols>
    <col min="1" max="1" width="9.140625" style="162"/>
    <col min="2" max="2" width="64.5703125" style="162" customWidth="1"/>
    <col min="3" max="3" width="5.7109375" style="162" bestFit="1" customWidth="1"/>
    <col min="4" max="4" width="9.140625" style="162"/>
    <col min="5" max="5" width="10.7109375" style="162" bestFit="1" customWidth="1"/>
    <col min="6" max="6" width="2.7109375" style="162" bestFit="1" customWidth="1"/>
    <col min="7" max="7" width="9.7109375" style="162" hidden="1" customWidth="1"/>
    <col min="8" max="8" width="0" style="162" hidden="1" customWidth="1"/>
    <col min="9" max="9" width="10.7109375" style="162" bestFit="1" customWidth="1"/>
    <col min="10" max="10" width="9.140625" style="162"/>
    <col min="11" max="11" width="66.5703125" style="162" customWidth="1"/>
    <col min="12" max="12" width="7.28515625" style="162" bestFit="1" customWidth="1"/>
    <col min="13" max="13" width="10.7109375" style="162" bestFit="1" customWidth="1"/>
    <col min="14" max="14" width="11.5703125" style="162" hidden="1" customWidth="1"/>
    <col min="15" max="15" width="10.7109375" style="162" bestFit="1" customWidth="1"/>
    <col min="16" max="16" width="9.140625" style="162"/>
    <col min="17" max="17" width="58.7109375" style="162" customWidth="1"/>
    <col min="18" max="18" width="15.7109375" style="162" bestFit="1" customWidth="1"/>
    <col min="19" max="19" width="6.5703125" style="162" bestFit="1" customWidth="1"/>
    <col min="20" max="20" width="15.7109375" style="162" bestFit="1" customWidth="1"/>
    <col min="21" max="21" width="6.5703125" style="162" bestFit="1" customWidth="1"/>
    <col min="22" max="22" width="15.7109375" style="162" bestFit="1" customWidth="1"/>
    <col min="23" max="23" width="6.5703125" style="162" bestFit="1" customWidth="1"/>
    <col min="24" max="16384" width="9.140625" style="162"/>
  </cols>
  <sheetData>
    <row r="2" spans="2:23">
      <c r="B2" s="168" t="s">
        <v>723</v>
      </c>
      <c r="C2" s="168"/>
      <c r="D2" s="168"/>
      <c r="E2" s="168"/>
      <c r="F2" s="168"/>
      <c r="G2" s="168"/>
      <c r="H2" s="168"/>
      <c r="I2" s="168"/>
      <c r="K2" s="168" t="s">
        <v>571</v>
      </c>
      <c r="L2" s="168"/>
      <c r="M2" s="168"/>
      <c r="N2" s="168"/>
      <c r="O2" s="168"/>
      <c r="Q2" s="168" t="s">
        <v>631</v>
      </c>
      <c r="R2" s="168"/>
      <c r="S2" s="168"/>
      <c r="T2" s="168"/>
      <c r="U2" s="168"/>
      <c r="V2" s="168"/>
      <c r="W2" s="168"/>
    </row>
    <row r="4" spans="2:23" ht="33.75">
      <c r="B4" s="164" t="s">
        <v>406</v>
      </c>
      <c r="C4" s="164" t="s">
        <v>407</v>
      </c>
      <c r="D4" s="165"/>
      <c r="E4" s="164" t="s">
        <v>721</v>
      </c>
      <c r="F4" s="164"/>
      <c r="G4" s="164" t="str">
        <f>"perioada incheiata la
"&amp;TEXT('[1]SETUP INFO'!F10,"[$-418]d mmmm yyyy;@")</f>
        <v>perioada incheiata la
d 00 yyyy</v>
      </c>
      <c r="H4" s="164"/>
      <c r="I4" s="164" t="s">
        <v>722</v>
      </c>
      <c r="J4" s="170"/>
      <c r="K4" s="164" t="s">
        <v>0</v>
      </c>
      <c r="L4" s="164" t="s">
        <v>371</v>
      </c>
      <c r="M4" s="164" t="s">
        <v>721</v>
      </c>
      <c r="N4" s="164" t="str">
        <f>"for the period ended 
"&amp;TEXT('[1]SETUP INFO'!F10,"[$-409]mmmm d, yyyy;@")</f>
        <v>for the period ended 
00 d, yyyy</v>
      </c>
      <c r="O4" s="164" t="s">
        <v>722</v>
      </c>
      <c r="Q4" s="164" t="s">
        <v>0</v>
      </c>
      <c r="R4" s="164" t="s">
        <v>630</v>
      </c>
      <c r="S4" s="164"/>
      <c r="T4" s="164" t="s">
        <v>573</v>
      </c>
      <c r="U4" s="164"/>
      <c r="V4" s="164" t="s">
        <v>574</v>
      </c>
      <c r="W4" s="164"/>
    </row>
    <row r="5" spans="2:23">
      <c r="B5" s="191" t="s">
        <v>632</v>
      </c>
      <c r="C5" s="195">
        <v>1</v>
      </c>
      <c r="D5" s="191"/>
      <c r="E5" s="189">
        <v>186046564</v>
      </c>
      <c r="F5" s="189"/>
      <c r="G5" s="189">
        <v>0</v>
      </c>
      <c r="H5" s="189"/>
      <c r="I5" s="189">
        <v>169150363</v>
      </c>
      <c r="J5" s="171"/>
      <c r="K5" s="191" t="s">
        <v>1</v>
      </c>
      <c r="L5" s="192">
        <f>C5</f>
        <v>1</v>
      </c>
      <c r="M5" s="189">
        <f>E5</f>
        <v>186046564</v>
      </c>
      <c r="N5" s="189">
        <f>G5</f>
        <v>0</v>
      </c>
      <c r="O5" s="189">
        <f>I5</f>
        <v>169150363</v>
      </c>
      <c r="Q5" s="191" t="s">
        <v>294</v>
      </c>
      <c r="R5" s="189">
        <v>38216485.956758939</v>
      </c>
      <c r="S5" s="190">
        <v>0.9884008046722923</v>
      </c>
      <c r="T5" s="189">
        <v>37396294.271356784</v>
      </c>
      <c r="U5" s="190">
        <v>0.98546718135576294</v>
      </c>
      <c r="V5" s="189">
        <v>34006908.524326496</v>
      </c>
      <c r="W5" s="190">
        <v>0.98263515739983487</v>
      </c>
    </row>
    <row r="6" spans="2:23" ht="22.5">
      <c r="B6" s="12" t="s">
        <v>633</v>
      </c>
      <c r="C6" s="22">
        <f>C5+1</f>
        <v>2</v>
      </c>
      <c r="D6" s="15"/>
      <c r="E6" s="11">
        <v>176947139</v>
      </c>
      <c r="F6" s="11"/>
      <c r="G6" s="11"/>
      <c r="H6" s="11"/>
      <c r="I6" s="11">
        <v>159646280</v>
      </c>
      <c r="J6" s="171"/>
      <c r="K6" s="10" t="s">
        <v>2</v>
      </c>
      <c r="L6" s="131">
        <f>C6</f>
        <v>2</v>
      </c>
      <c r="M6" s="11">
        <f t="shared" ref="M6:M17" si="0">E6</f>
        <v>176947139</v>
      </c>
      <c r="N6" s="11">
        <f>G6</f>
        <v>0</v>
      </c>
      <c r="O6" s="11">
        <f t="shared" ref="O6:O84" si="1">I6</f>
        <v>159646280</v>
      </c>
      <c r="Q6" s="10" t="s">
        <v>2</v>
      </c>
      <c r="R6" s="13">
        <v>0</v>
      </c>
      <c r="S6" s="53"/>
      <c r="T6" s="13">
        <v>0</v>
      </c>
      <c r="U6" s="53"/>
      <c r="V6" s="13">
        <v>32096156.011258543</v>
      </c>
      <c r="W6" s="53"/>
    </row>
    <row r="7" spans="2:23" ht="22.5">
      <c r="B7" s="12" t="s">
        <v>634</v>
      </c>
      <c r="C7" s="22" t="s">
        <v>635</v>
      </c>
      <c r="D7" s="15"/>
      <c r="E7" s="172">
        <v>2307555.2200000002</v>
      </c>
      <c r="F7" s="172"/>
      <c r="G7" s="172"/>
      <c r="H7" s="172"/>
      <c r="I7" s="172">
        <v>1698652.11</v>
      </c>
      <c r="J7" s="171"/>
      <c r="K7" s="12" t="s">
        <v>3</v>
      </c>
      <c r="L7" s="131" t="s">
        <v>635</v>
      </c>
      <c r="M7" s="13">
        <f t="shared" si="0"/>
        <v>2307555.2200000002</v>
      </c>
      <c r="N7" s="13">
        <f>G7</f>
        <v>0</v>
      </c>
      <c r="O7" s="13">
        <f t="shared" si="1"/>
        <v>1698652.11</v>
      </c>
      <c r="Q7" s="12" t="s">
        <v>3</v>
      </c>
      <c r="R7" s="3">
        <v>0</v>
      </c>
      <c r="S7" s="52"/>
      <c r="T7" s="13">
        <v>0</v>
      </c>
      <c r="U7" s="52"/>
      <c r="V7" s="13">
        <v>341506.25452352234</v>
      </c>
      <c r="W7" s="52"/>
    </row>
    <row r="8" spans="2:23">
      <c r="B8" s="10" t="s">
        <v>636</v>
      </c>
      <c r="C8" s="22">
        <f>C6+1</f>
        <v>3</v>
      </c>
      <c r="D8" s="15"/>
      <c r="E8" s="172">
        <v>177341773</v>
      </c>
      <c r="F8" s="172"/>
      <c r="G8" s="172">
        <v>0</v>
      </c>
      <c r="H8" s="172"/>
      <c r="I8" s="172">
        <v>160152300</v>
      </c>
      <c r="J8" s="171"/>
      <c r="K8" s="10" t="s">
        <v>4</v>
      </c>
      <c r="L8" s="131">
        <f>C8</f>
        <v>3</v>
      </c>
      <c r="M8" s="13">
        <f t="shared" si="0"/>
        <v>177341773</v>
      </c>
      <c r="N8" s="13">
        <f>G8</f>
        <v>0</v>
      </c>
      <c r="O8" s="13">
        <f t="shared" si="1"/>
        <v>160152300</v>
      </c>
      <c r="Q8" s="10" t="s">
        <v>302</v>
      </c>
      <c r="R8" s="13">
        <v>36069540.311173975</v>
      </c>
      <c r="S8" s="50">
        <v>0.93287390965413464</v>
      </c>
      <c r="T8" s="13">
        <v>0</v>
      </c>
      <c r="U8" s="50">
        <v>0</v>
      </c>
      <c r="V8" s="13">
        <v>32197889.022919178</v>
      </c>
      <c r="W8" s="50">
        <v>0.93036324443740959</v>
      </c>
    </row>
    <row r="9" spans="2:23">
      <c r="B9" s="10" t="s">
        <v>637</v>
      </c>
      <c r="C9" s="22">
        <v>4</v>
      </c>
      <c r="D9" s="15"/>
      <c r="E9" s="172">
        <v>8704791</v>
      </c>
      <c r="F9" s="172"/>
      <c r="G9" s="172">
        <v>0</v>
      </c>
      <c r="H9" s="172"/>
      <c r="I9" s="172">
        <v>8998063</v>
      </c>
      <c r="J9" s="171"/>
      <c r="K9" s="10" t="s">
        <v>5</v>
      </c>
      <c r="L9" s="131">
        <f>C9</f>
        <v>4</v>
      </c>
      <c r="M9" s="13">
        <f t="shared" si="0"/>
        <v>8704791</v>
      </c>
      <c r="N9" s="13">
        <f>G9</f>
        <v>0</v>
      </c>
      <c r="O9" s="13">
        <f t="shared" si="1"/>
        <v>8998063</v>
      </c>
      <c r="Q9" s="10" t="s">
        <v>303</v>
      </c>
      <c r="R9" s="13">
        <v>2146945.6455849665</v>
      </c>
      <c r="S9" s="50">
        <v>5.5526895018157787E-2</v>
      </c>
      <c r="T9" s="13">
        <v>0</v>
      </c>
      <c r="U9" s="50">
        <v>0</v>
      </c>
      <c r="V9" s="13">
        <v>1809019.5014073181</v>
      </c>
      <c r="W9" s="50">
        <v>5.2271912962425213E-2</v>
      </c>
    </row>
    <row r="10" spans="2:23">
      <c r="B10" s="10" t="s">
        <v>638</v>
      </c>
      <c r="C10" s="22">
        <v>5</v>
      </c>
      <c r="D10" s="15"/>
      <c r="E10" s="172">
        <v>0</v>
      </c>
      <c r="F10" s="172"/>
      <c r="G10" s="172">
        <v>0</v>
      </c>
      <c r="H10" s="172"/>
      <c r="I10" s="172">
        <v>0</v>
      </c>
      <c r="J10" s="171"/>
      <c r="K10" s="10" t="s">
        <v>6</v>
      </c>
      <c r="L10" s="131">
        <f>C10</f>
        <v>5</v>
      </c>
      <c r="M10" s="9">
        <f t="shared" si="0"/>
        <v>0</v>
      </c>
      <c r="N10" s="13">
        <f>G10</f>
        <v>0</v>
      </c>
      <c r="O10" s="13">
        <f t="shared" si="1"/>
        <v>0</v>
      </c>
      <c r="Q10" s="10" t="s">
        <v>304</v>
      </c>
      <c r="R10" s="13">
        <v>0</v>
      </c>
      <c r="S10" s="53"/>
      <c r="T10" s="13">
        <v>0</v>
      </c>
      <c r="U10" s="53"/>
      <c r="V10" s="13">
        <v>0</v>
      </c>
      <c r="W10" s="53"/>
    </row>
    <row r="11" spans="2:23">
      <c r="B11" s="10" t="s">
        <v>639</v>
      </c>
      <c r="C11" s="22">
        <v>6</v>
      </c>
      <c r="D11" s="15"/>
      <c r="E11" s="172">
        <v>0</v>
      </c>
      <c r="F11" s="172"/>
      <c r="G11" s="172">
        <v>0</v>
      </c>
      <c r="H11" s="172"/>
      <c r="I11" s="172">
        <v>0</v>
      </c>
      <c r="J11" s="171"/>
      <c r="K11" s="14" t="s">
        <v>7</v>
      </c>
      <c r="L11" s="131">
        <f>C11</f>
        <v>6</v>
      </c>
      <c r="M11" s="9">
        <f t="shared" si="0"/>
        <v>0</v>
      </c>
      <c r="N11" s="13">
        <f>G11</f>
        <v>0</v>
      </c>
      <c r="O11" s="13">
        <f t="shared" si="1"/>
        <v>0</v>
      </c>
      <c r="Q11" s="14" t="s">
        <v>305</v>
      </c>
      <c r="R11" s="13">
        <v>0</v>
      </c>
      <c r="S11" s="53"/>
      <c r="T11" s="13">
        <v>0</v>
      </c>
      <c r="U11" s="53"/>
      <c r="V11" s="13">
        <v>0</v>
      </c>
      <c r="W11" s="53"/>
    </row>
    <row r="12" spans="2:23" ht="22.5">
      <c r="B12" s="10" t="s">
        <v>640</v>
      </c>
      <c r="C12" s="22">
        <v>7</v>
      </c>
      <c r="D12" s="15"/>
      <c r="E12" s="172">
        <v>0</v>
      </c>
      <c r="F12" s="172"/>
      <c r="G12" s="172">
        <v>0</v>
      </c>
      <c r="H12" s="172"/>
      <c r="I12" s="172">
        <v>0</v>
      </c>
      <c r="J12" s="171"/>
      <c r="K12" s="10" t="s">
        <v>70</v>
      </c>
      <c r="L12" s="131">
        <f>C12</f>
        <v>7</v>
      </c>
      <c r="M12" s="9">
        <f t="shared" si="0"/>
        <v>0</v>
      </c>
      <c r="N12" s="13">
        <f>G12</f>
        <v>0</v>
      </c>
      <c r="O12" s="13">
        <f t="shared" si="1"/>
        <v>0</v>
      </c>
      <c r="Q12" s="10" t="s">
        <v>295</v>
      </c>
      <c r="R12" s="13">
        <v>0</v>
      </c>
      <c r="S12" s="53"/>
      <c r="T12" s="13">
        <v>0</v>
      </c>
      <c r="U12" s="53"/>
      <c r="V12" s="13">
        <v>0</v>
      </c>
      <c r="W12" s="53"/>
    </row>
    <row r="13" spans="2:23">
      <c r="B13" s="10" t="s">
        <v>641</v>
      </c>
      <c r="C13" s="22">
        <v>8</v>
      </c>
      <c r="D13" s="15"/>
      <c r="E13" s="172">
        <v>0</v>
      </c>
      <c r="F13" s="172"/>
      <c r="G13" s="172">
        <v>0</v>
      </c>
      <c r="H13" s="172"/>
      <c r="I13" s="172">
        <v>0</v>
      </c>
      <c r="J13" s="171"/>
      <c r="K13" s="10" t="s">
        <v>8</v>
      </c>
      <c r="L13" s="131">
        <f>C13</f>
        <v>8</v>
      </c>
      <c r="M13" s="9">
        <f t="shared" si="0"/>
        <v>0</v>
      </c>
      <c r="N13" s="13">
        <f>G13</f>
        <v>0</v>
      </c>
      <c r="O13" s="13">
        <f t="shared" si="1"/>
        <v>0</v>
      </c>
      <c r="Q13" s="10" t="s">
        <v>306</v>
      </c>
      <c r="R13" s="13">
        <v>0</v>
      </c>
      <c r="S13" s="53"/>
      <c r="T13" s="13">
        <v>0</v>
      </c>
      <c r="U13" s="53"/>
      <c r="V13" s="13">
        <v>0</v>
      </c>
      <c r="W13" s="53"/>
    </row>
    <row r="14" spans="2:23" ht="22.5">
      <c r="B14" s="5" t="s">
        <v>642</v>
      </c>
      <c r="C14" s="22">
        <v>9</v>
      </c>
      <c r="D14" s="15"/>
      <c r="E14" s="172">
        <v>0</v>
      </c>
      <c r="F14" s="172"/>
      <c r="G14" s="172">
        <v>0</v>
      </c>
      <c r="H14" s="172"/>
      <c r="I14" s="172">
        <v>0</v>
      </c>
      <c r="J14" s="171"/>
      <c r="K14" s="5" t="s">
        <v>71</v>
      </c>
      <c r="L14" s="131">
        <f>C14</f>
        <v>9</v>
      </c>
      <c r="M14" s="9">
        <f t="shared" si="0"/>
        <v>0</v>
      </c>
      <c r="N14" s="13">
        <f>G14</f>
        <v>0</v>
      </c>
      <c r="O14" s="13">
        <f t="shared" si="1"/>
        <v>0</v>
      </c>
      <c r="Q14" s="5" t="s">
        <v>296</v>
      </c>
      <c r="R14" s="13">
        <v>0</v>
      </c>
      <c r="S14" s="53"/>
      <c r="T14" s="13">
        <v>0</v>
      </c>
      <c r="U14" s="53"/>
      <c r="V14" s="13">
        <v>0</v>
      </c>
      <c r="W14" s="53"/>
    </row>
    <row r="15" spans="2:23">
      <c r="B15" s="10" t="s">
        <v>643</v>
      </c>
      <c r="C15" s="22">
        <v>10</v>
      </c>
      <c r="D15" s="15"/>
      <c r="E15" s="172">
        <v>0</v>
      </c>
      <c r="F15" s="172"/>
      <c r="G15" s="172">
        <v>0</v>
      </c>
      <c r="H15" s="172"/>
      <c r="I15" s="172">
        <v>0</v>
      </c>
      <c r="J15" s="171"/>
      <c r="K15" s="10" t="s">
        <v>72</v>
      </c>
      <c r="L15" s="131">
        <f>C15</f>
        <v>10</v>
      </c>
      <c r="M15" s="9">
        <f t="shared" si="0"/>
        <v>0</v>
      </c>
      <c r="N15" s="13">
        <f>G15</f>
        <v>0</v>
      </c>
      <c r="O15" s="13">
        <f t="shared" si="1"/>
        <v>0</v>
      </c>
      <c r="Q15" s="10" t="s">
        <v>297</v>
      </c>
      <c r="R15" s="13">
        <v>0</v>
      </c>
      <c r="S15" s="53"/>
      <c r="T15" s="13">
        <v>0</v>
      </c>
      <c r="U15" s="53"/>
      <c r="V15" s="13">
        <v>0</v>
      </c>
      <c r="W15" s="53"/>
    </row>
    <row r="16" spans="2:23">
      <c r="B16" s="10" t="s">
        <v>644</v>
      </c>
      <c r="C16" s="22">
        <v>11</v>
      </c>
      <c r="D16" s="15"/>
      <c r="E16" s="172">
        <v>0</v>
      </c>
      <c r="F16" s="172"/>
      <c r="G16" s="172">
        <v>0</v>
      </c>
      <c r="H16" s="172"/>
      <c r="I16" s="172">
        <v>0</v>
      </c>
      <c r="J16" s="171"/>
      <c r="K16" s="10" t="s">
        <v>73</v>
      </c>
      <c r="L16" s="131">
        <f>C16</f>
        <v>11</v>
      </c>
      <c r="M16" s="9">
        <f t="shared" si="0"/>
        <v>0</v>
      </c>
      <c r="N16" s="13">
        <f>G16</f>
        <v>0</v>
      </c>
      <c r="O16" s="13">
        <f t="shared" si="1"/>
        <v>0</v>
      </c>
      <c r="Q16" s="10" t="s">
        <v>298</v>
      </c>
      <c r="R16" s="13">
        <v>0</v>
      </c>
      <c r="S16" s="53"/>
      <c r="T16" s="13">
        <v>0</v>
      </c>
      <c r="U16" s="53"/>
      <c r="V16" s="13">
        <v>0</v>
      </c>
      <c r="W16" s="53"/>
    </row>
    <row r="17" spans="2:23" ht="22.5">
      <c r="B17" s="10" t="s">
        <v>645</v>
      </c>
      <c r="C17" s="22">
        <v>12</v>
      </c>
      <c r="D17" s="15"/>
      <c r="E17" s="172">
        <v>0</v>
      </c>
      <c r="F17" s="172"/>
      <c r="G17" s="172">
        <v>0</v>
      </c>
      <c r="H17" s="172"/>
      <c r="I17" s="172">
        <v>0</v>
      </c>
      <c r="J17" s="171"/>
      <c r="K17" s="10" t="s">
        <v>74</v>
      </c>
      <c r="L17" s="131">
        <f>C17</f>
        <v>12</v>
      </c>
      <c r="M17" s="9">
        <f t="shared" si="0"/>
        <v>0</v>
      </c>
      <c r="N17" s="13">
        <f>G17</f>
        <v>0</v>
      </c>
      <c r="O17" s="13">
        <f t="shared" si="1"/>
        <v>0</v>
      </c>
      <c r="Q17" s="10" t="s">
        <v>299</v>
      </c>
      <c r="R17" s="3">
        <v>0</v>
      </c>
      <c r="S17" s="52"/>
      <c r="T17" s="13">
        <v>0</v>
      </c>
      <c r="U17" s="52"/>
      <c r="V17" s="13">
        <v>0</v>
      </c>
      <c r="W17" s="52"/>
    </row>
    <row r="18" spans="2:23">
      <c r="B18" s="5" t="s">
        <v>646</v>
      </c>
      <c r="C18" s="4">
        <v>13</v>
      </c>
      <c r="D18" s="32"/>
      <c r="E18" s="173">
        <v>2743654</v>
      </c>
      <c r="F18" s="173"/>
      <c r="G18" s="173">
        <v>0</v>
      </c>
      <c r="H18" s="173"/>
      <c r="I18" s="173">
        <v>2989176</v>
      </c>
      <c r="J18" s="171"/>
      <c r="K18" s="5" t="s">
        <v>9</v>
      </c>
      <c r="L18" s="131">
        <f>C18</f>
        <v>13</v>
      </c>
      <c r="M18" s="9">
        <f>E18</f>
        <v>2743654</v>
      </c>
      <c r="N18" s="9">
        <f>G18</f>
        <v>0</v>
      </c>
      <c r="O18" s="9">
        <f t="shared" si="1"/>
        <v>2989176</v>
      </c>
      <c r="Q18" s="5" t="s">
        <v>300</v>
      </c>
      <c r="R18" s="9">
        <v>448482.52172155993</v>
      </c>
      <c r="S18" s="50">
        <v>1.1599195327707789E-2</v>
      </c>
      <c r="T18" s="9">
        <v>551488.24120603024</v>
      </c>
      <c r="U18" s="50">
        <v>1.4532818644237175E-2</v>
      </c>
      <c r="V18" s="9">
        <v>600960.19300361874</v>
      </c>
      <c r="W18" s="50">
        <v>1.7364842600165208E-2</v>
      </c>
    </row>
    <row r="19" spans="2:23">
      <c r="B19" s="28" t="s">
        <v>647</v>
      </c>
      <c r="C19" s="22">
        <v>14</v>
      </c>
      <c r="D19" s="15"/>
      <c r="E19" s="172">
        <v>0</v>
      </c>
      <c r="F19" s="172"/>
      <c r="G19" s="172">
        <v>0</v>
      </c>
      <c r="H19" s="172"/>
      <c r="I19" s="172">
        <v>0</v>
      </c>
      <c r="J19" s="171"/>
      <c r="K19" s="15" t="s">
        <v>10</v>
      </c>
      <c r="L19" s="131">
        <f>C19</f>
        <v>14</v>
      </c>
      <c r="M19" s="13">
        <f>E19</f>
        <v>0</v>
      </c>
      <c r="N19" s="13">
        <f>G19</f>
        <v>0</v>
      </c>
      <c r="O19" s="13">
        <f t="shared" si="1"/>
        <v>0</v>
      </c>
      <c r="Q19" s="15" t="s">
        <v>307</v>
      </c>
      <c r="R19" s="9">
        <v>6159.6282077187316</v>
      </c>
      <c r="S19" s="50">
        <v>1.5930772609182276E-4</v>
      </c>
      <c r="T19" s="13">
        <v>0</v>
      </c>
      <c r="U19" s="50"/>
      <c r="V19" s="13">
        <v>0</v>
      </c>
      <c r="W19" s="50"/>
    </row>
    <row r="20" spans="2:23">
      <c r="B20" s="28" t="s">
        <v>648</v>
      </c>
      <c r="C20" s="22">
        <v>15</v>
      </c>
      <c r="D20" s="15"/>
      <c r="E20" s="172">
        <v>0</v>
      </c>
      <c r="F20" s="172"/>
      <c r="G20" s="172">
        <v>0</v>
      </c>
      <c r="H20" s="172"/>
      <c r="I20" s="172">
        <v>0</v>
      </c>
      <c r="J20" s="171"/>
      <c r="K20" s="15" t="s">
        <v>11</v>
      </c>
      <c r="L20" s="131">
        <f>C20</f>
        <v>15</v>
      </c>
      <c r="M20" s="13">
        <f>E20</f>
        <v>0</v>
      </c>
      <c r="N20" s="13">
        <f>G20</f>
        <v>0</v>
      </c>
      <c r="O20" s="13">
        <f t="shared" si="1"/>
        <v>0</v>
      </c>
      <c r="Q20" s="15" t="s">
        <v>308</v>
      </c>
      <c r="R20" s="13">
        <v>0</v>
      </c>
      <c r="S20" s="53"/>
      <c r="T20" s="13">
        <v>0</v>
      </c>
      <c r="U20" s="53"/>
      <c r="V20" s="13">
        <v>0</v>
      </c>
      <c r="W20" s="53"/>
    </row>
    <row r="21" spans="2:23" ht="23.25" thickBot="1">
      <c r="B21" s="191" t="s">
        <v>649</v>
      </c>
      <c r="C21" s="195">
        <v>16</v>
      </c>
      <c r="D21" s="196"/>
      <c r="E21" s="198">
        <v>188790218</v>
      </c>
      <c r="F21" s="198"/>
      <c r="G21" s="198">
        <v>0</v>
      </c>
      <c r="H21" s="198"/>
      <c r="I21" s="198">
        <v>172139539</v>
      </c>
      <c r="J21" s="171"/>
      <c r="K21" s="191" t="s">
        <v>12</v>
      </c>
      <c r="L21" s="192">
        <f>C21</f>
        <v>16</v>
      </c>
      <c r="M21" s="198">
        <f>E21</f>
        <v>188790218</v>
      </c>
      <c r="N21" s="198">
        <f>G21</f>
        <v>0</v>
      </c>
      <c r="O21" s="198">
        <f t="shared" si="1"/>
        <v>172139539</v>
      </c>
      <c r="Q21" s="191" t="s">
        <v>301</v>
      </c>
      <c r="R21" s="189">
        <v>38664968.478480496</v>
      </c>
      <c r="S21" s="190">
        <v>1.000159307726092</v>
      </c>
      <c r="T21" s="189">
        <v>37947782.512562811</v>
      </c>
      <c r="U21" s="190">
        <v>1.4532818644237175E-2</v>
      </c>
      <c r="V21" s="189">
        <v>34607868.717330113</v>
      </c>
      <c r="W21" s="190">
        <v>1</v>
      </c>
    </row>
    <row r="22" spans="2:23">
      <c r="B22" s="10" t="s">
        <v>650</v>
      </c>
      <c r="C22" s="22">
        <v>17</v>
      </c>
      <c r="D22" s="15"/>
      <c r="E22" s="172">
        <v>32409315</v>
      </c>
      <c r="F22" s="172"/>
      <c r="G22" s="172">
        <v>0</v>
      </c>
      <c r="H22" s="172"/>
      <c r="I22" s="172">
        <v>28691875</v>
      </c>
      <c r="J22" s="171"/>
      <c r="K22" s="5" t="s">
        <v>75</v>
      </c>
      <c r="L22" s="131">
        <f>C22</f>
        <v>17</v>
      </c>
      <c r="M22" s="13">
        <f>E22</f>
        <v>32409315</v>
      </c>
      <c r="N22" s="13">
        <f>G22</f>
        <v>0</v>
      </c>
      <c r="O22" s="13">
        <f t="shared" si="1"/>
        <v>28691875</v>
      </c>
      <c r="Q22" s="5" t="s">
        <v>309</v>
      </c>
      <c r="R22" s="13">
        <v>6764286.9266518494</v>
      </c>
      <c r="S22" s="53">
        <v>0.17494613839958523</v>
      </c>
      <c r="T22" s="13">
        <v>6514435.1758793974</v>
      </c>
      <c r="U22" s="53">
        <v>0.17166840180247053</v>
      </c>
      <c r="V22" s="13">
        <v>5768370.5267390432</v>
      </c>
      <c r="W22" s="53">
        <v>0.16667800533612445</v>
      </c>
    </row>
    <row r="23" spans="2:23">
      <c r="B23" s="10" t="s">
        <v>651</v>
      </c>
      <c r="C23" s="22">
        <v>18</v>
      </c>
      <c r="D23" s="15"/>
      <c r="E23" s="172">
        <v>165212</v>
      </c>
      <c r="F23" s="172"/>
      <c r="G23" s="172">
        <v>0</v>
      </c>
      <c r="H23" s="172"/>
      <c r="I23" s="172">
        <v>108982</v>
      </c>
      <c r="J23" s="171"/>
      <c r="K23" s="10" t="s">
        <v>13</v>
      </c>
      <c r="L23" s="131">
        <f>C23</f>
        <v>18</v>
      </c>
      <c r="M23" s="13">
        <f>E23</f>
        <v>165212</v>
      </c>
      <c r="N23" s="13">
        <f>G23</f>
        <v>0</v>
      </c>
      <c r="O23" s="13">
        <f t="shared" si="1"/>
        <v>108982</v>
      </c>
      <c r="Q23" s="10" t="s">
        <v>310</v>
      </c>
      <c r="R23" s="13">
        <v>30171.751869064457</v>
      </c>
      <c r="S23" s="53">
        <v>7.8033819905625813E-4</v>
      </c>
      <c r="T23" s="13">
        <v>33208.442211055277</v>
      </c>
      <c r="U23" s="53">
        <v>8.7510889997489179E-4</v>
      </c>
      <c r="V23" s="13">
        <v>21910.333735424207</v>
      </c>
      <c r="W23" s="53">
        <v>6.33102659813676E-4</v>
      </c>
    </row>
    <row r="24" spans="2:23">
      <c r="B24" s="10" t="s">
        <v>652</v>
      </c>
      <c r="C24" s="22">
        <v>19</v>
      </c>
      <c r="D24" s="15"/>
      <c r="E24" s="172">
        <v>304137</v>
      </c>
      <c r="F24" s="172"/>
      <c r="G24" s="172">
        <v>0</v>
      </c>
      <c r="H24" s="172"/>
      <c r="I24" s="172">
        <v>202518</v>
      </c>
      <c r="J24" s="171"/>
      <c r="K24" s="10" t="s">
        <v>14</v>
      </c>
      <c r="L24" s="131">
        <f>C24</f>
        <v>19</v>
      </c>
      <c r="M24" s="13">
        <f>E24</f>
        <v>304137</v>
      </c>
      <c r="N24" s="13">
        <f>G24</f>
        <v>0</v>
      </c>
      <c r="O24" s="13">
        <f t="shared" si="1"/>
        <v>202518</v>
      </c>
      <c r="Q24" s="10" t="s">
        <v>311</v>
      </c>
      <c r="R24" s="13">
        <v>86376.439684784811</v>
      </c>
      <c r="S24" s="53">
        <v>2.2339715531608092E-3</v>
      </c>
      <c r="T24" s="13">
        <v>61133.065326633172</v>
      </c>
      <c r="U24" s="53">
        <v>1.6109785942405132E-3</v>
      </c>
      <c r="V24" s="13">
        <v>40715.319662243666</v>
      </c>
      <c r="W24" s="53">
        <v>1.1764757892142375E-3</v>
      </c>
    </row>
    <row r="25" spans="2:23">
      <c r="B25" s="10" t="s">
        <v>653</v>
      </c>
      <c r="C25" s="22">
        <v>20</v>
      </c>
      <c r="D25" s="15"/>
      <c r="E25" s="172">
        <v>292980</v>
      </c>
      <c r="F25" s="172"/>
      <c r="G25" s="172">
        <v>0</v>
      </c>
      <c r="H25" s="172"/>
      <c r="I25" s="172">
        <v>185075</v>
      </c>
      <c r="J25" s="171"/>
      <c r="K25" s="12" t="s">
        <v>15</v>
      </c>
      <c r="L25" s="131">
        <f>C25</f>
        <v>20</v>
      </c>
      <c r="M25" s="13">
        <f>E25</f>
        <v>292980</v>
      </c>
      <c r="N25" s="13">
        <f>G25</f>
        <v>0</v>
      </c>
      <c r="O25" s="13">
        <f t="shared" si="1"/>
        <v>185075</v>
      </c>
      <c r="Q25" s="12" t="s">
        <v>312</v>
      </c>
      <c r="R25" s="13">
        <v>84990.099009900994</v>
      </c>
      <c r="S25" s="53">
        <v>2.1981163403043602E-3</v>
      </c>
      <c r="T25" s="13">
        <v>58890.452261306535</v>
      </c>
      <c r="U25" s="53">
        <v>1.5518812526610888E-3</v>
      </c>
      <c r="V25" s="13">
        <v>37208.484117410531</v>
      </c>
      <c r="W25" s="53">
        <v>1.0751452053092811E-3</v>
      </c>
    </row>
    <row r="26" spans="2:23">
      <c r="B26" s="10" t="s">
        <v>654</v>
      </c>
      <c r="C26" s="22">
        <v>21</v>
      </c>
      <c r="D26" s="15"/>
      <c r="E26" s="172">
        <v>0</v>
      </c>
      <c r="F26" s="172"/>
      <c r="G26" s="172">
        <v>0</v>
      </c>
      <c r="H26" s="172"/>
      <c r="I26" s="172">
        <v>0</v>
      </c>
      <c r="J26" s="171"/>
      <c r="K26" s="12" t="s">
        <v>16</v>
      </c>
      <c r="L26" s="131">
        <f>C26</f>
        <v>21</v>
      </c>
      <c r="M26" s="13">
        <f>E26</f>
        <v>0</v>
      </c>
      <c r="N26" s="13">
        <f>G26</f>
        <v>0</v>
      </c>
      <c r="O26" s="13">
        <f t="shared" si="1"/>
        <v>0</v>
      </c>
      <c r="Q26" s="12" t="s">
        <v>313</v>
      </c>
      <c r="R26" s="13">
        <v>0</v>
      </c>
      <c r="S26" s="53"/>
      <c r="T26" s="13">
        <v>0</v>
      </c>
      <c r="U26" s="53"/>
      <c r="V26" s="13">
        <v>0</v>
      </c>
      <c r="W26" s="53"/>
    </row>
    <row r="27" spans="2:23">
      <c r="B27" s="10" t="s">
        <v>655</v>
      </c>
      <c r="C27" s="22">
        <v>22</v>
      </c>
      <c r="D27" s="15"/>
      <c r="E27" s="172">
        <v>8700332</v>
      </c>
      <c r="F27" s="172"/>
      <c r="G27" s="172">
        <v>0</v>
      </c>
      <c r="H27" s="172"/>
      <c r="I27" s="172">
        <v>8997248</v>
      </c>
      <c r="J27" s="171"/>
      <c r="K27" s="10" t="s">
        <v>17</v>
      </c>
      <c r="L27" s="131">
        <f>C27</f>
        <v>22</v>
      </c>
      <c r="M27" s="13">
        <f>E27</f>
        <v>8700332</v>
      </c>
      <c r="N27" s="13">
        <f>G27</f>
        <v>0</v>
      </c>
      <c r="O27" s="13">
        <f t="shared" si="1"/>
        <v>8997248</v>
      </c>
      <c r="Q27" s="10" t="s">
        <v>314</v>
      </c>
      <c r="R27" s="13">
        <v>2145422.1054758537</v>
      </c>
      <c r="S27" s="53">
        <v>5.5487491388229553E-2</v>
      </c>
      <c r="T27" s="13">
        <v>1748810.4522613066</v>
      </c>
      <c r="U27" s="53">
        <v>4.6084654661503709E-2</v>
      </c>
      <c r="V27" s="13">
        <v>1808855.6493767591</v>
      </c>
      <c r="W27" s="53">
        <v>5.2267178431330649E-2</v>
      </c>
    </row>
    <row r="28" spans="2:23">
      <c r="B28" s="10" t="s">
        <v>656</v>
      </c>
      <c r="C28" s="22">
        <v>23</v>
      </c>
      <c r="D28" s="15"/>
      <c r="E28" s="172">
        <v>0</v>
      </c>
      <c r="F28" s="172"/>
      <c r="G28" s="172">
        <v>0</v>
      </c>
      <c r="H28" s="172"/>
      <c r="I28" s="172">
        <v>0</v>
      </c>
      <c r="J28" s="171"/>
      <c r="K28" s="10" t="s">
        <v>18</v>
      </c>
      <c r="L28" s="131">
        <f>C28</f>
        <v>23</v>
      </c>
      <c r="M28" s="13">
        <f>E28</f>
        <v>0</v>
      </c>
      <c r="N28" s="13">
        <f>G28</f>
        <v>0</v>
      </c>
      <c r="O28" s="13">
        <f t="shared" si="1"/>
        <v>0</v>
      </c>
      <c r="Q28" s="10" t="s">
        <v>315</v>
      </c>
      <c r="R28" s="13">
        <v>0</v>
      </c>
      <c r="S28" s="53"/>
      <c r="T28" s="13">
        <v>0</v>
      </c>
      <c r="U28" s="53"/>
      <c r="V28" s="13">
        <v>0</v>
      </c>
      <c r="W28" s="53"/>
    </row>
    <row r="29" spans="2:23" ht="12" thickBot="1">
      <c r="B29" s="5" t="s">
        <v>657</v>
      </c>
      <c r="C29" s="4">
        <v>24</v>
      </c>
      <c r="D29" s="32"/>
      <c r="E29" s="174">
        <v>20738502</v>
      </c>
      <c r="F29" s="174"/>
      <c r="G29" s="174">
        <v>0</v>
      </c>
      <c r="H29" s="174"/>
      <c r="I29" s="174">
        <v>21306331</v>
      </c>
      <c r="J29" s="171"/>
      <c r="K29" s="5" t="s">
        <v>19</v>
      </c>
      <c r="L29" s="131">
        <f>C29</f>
        <v>24</v>
      </c>
      <c r="M29" s="16">
        <f>E29</f>
        <v>20738502</v>
      </c>
      <c r="N29" s="16">
        <f>G29</f>
        <v>0</v>
      </c>
      <c r="O29" s="16">
        <f t="shared" si="1"/>
        <v>21306331</v>
      </c>
      <c r="Q29" s="5" t="s">
        <v>316</v>
      </c>
      <c r="R29" s="9">
        <v>3420668.4178621946</v>
      </c>
      <c r="S29" s="50">
        <v>8.8469447990524377E-2</v>
      </c>
      <c r="T29" s="9">
        <v>4168543.1155778901</v>
      </c>
      <c r="U29" s="50">
        <v>0.10984945205158884</v>
      </c>
      <c r="V29" s="9">
        <v>4283540.6111781262</v>
      </c>
      <c r="W29" s="50">
        <v>0.12377360322778605</v>
      </c>
    </row>
    <row r="30" spans="2:23">
      <c r="B30" s="10" t="s">
        <v>658</v>
      </c>
      <c r="C30" s="22">
        <v>25</v>
      </c>
      <c r="D30" s="15"/>
      <c r="E30" s="172">
        <v>20293964</v>
      </c>
      <c r="F30" s="172"/>
      <c r="G30" s="172">
        <v>0</v>
      </c>
      <c r="H30" s="172"/>
      <c r="I30" s="172">
        <v>20834115</v>
      </c>
      <c r="J30" s="171"/>
      <c r="K30" s="10" t="s">
        <v>20</v>
      </c>
      <c r="L30" s="131">
        <f>C30</f>
        <v>25</v>
      </c>
      <c r="M30" s="13">
        <f>E30</f>
        <v>20293964</v>
      </c>
      <c r="N30" s="13">
        <f>G30</f>
        <v>0</v>
      </c>
      <c r="O30" s="13">
        <f t="shared" si="1"/>
        <v>20834115</v>
      </c>
      <c r="Q30" s="10" t="s">
        <v>317</v>
      </c>
      <c r="R30" s="13">
        <v>3347551.6265912307</v>
      </c>
      <c r="S30" s="53">
        <v>8.6578413440433946E-2</v>
      </c>
      <c r="T30" s="13">
        <v>4079188.7437185934</v>
      </c>
      <c r="U30" s="53">
        <v>0.10749478556140024</v>
      </c>
      <c r="V30" s="13">
        <v>4188603.7394451145</v>
      </c>
      <c r="W30" s="53">
        <v>0.12103038686539065</v>
      </c>
    </row>
    <row r="31" spans="2:23">
      <c r="B31" s="10" t="s">
        <v>659</v>
      </c>
      <c r="C31" s="22">
        <v>26</v>
      </c>
      <c r="D31" s="15"/>
      <c r="E31" s="172">
        <v>444538</v>
      </c>
      <c r="F31" s="172"/>
      <c r="G31" s="172">
        <v>0</v>
      </c>
      <c r="H31" s="172"/>
      <c r="I31" s="172">
        <v>472216</v>
      </c>
      <c r="J31" s="171"/>
      <c r="K31" s="10" t="s">
        <v>21</v>
      </c>
      <c r="L31" s="131">
        <f>C31</f>
        <v>26</v>
      </c>
      <c r="M31" s="13">
        <f>E31</f>
        <v>444538</v>
      </c>
      <c r="N31" s="13">
        <f>G31</f>
        <v>0</v>
      </c>
      <c r="O31" s="13">
        <f t="shared" si="1"/>
        <v>472216</v>
      </c>
      <c r="Q31" s="10" t="s">
        <v>318</v>
      </c>
      <c r="R31" s="13">
        <v>73116.791270963833</v>
      </c>
      <c r="S31" s="53">
        <v>1.891034550090425E-3</v>
      </c>
      <c r="T31" s="13">
        <v>89354.371859296487</v>
      </c>
      <c r="U31" s="53">
        <v>2.3546664901885968E-3</v>
      </c>
      <c r="V31" s="13">
        <v>94936.871733011663</v>
      </c>
      <c r="W31" s="53">
        <v>2.7432163623953942E-3</v>
      </c>
    </row>
    <row r="32" spans="2:23" ht="23.25" thickBot="1">
      <c r="B32" s="5" t="s">
        <v>660</v>
      </c>
      <c r="C32" s="4">
        <v>27</v>
      </c>
      <c r="D32" s="32"/>
      <c r="E32" s="174">
        <v>14479166</v>
      </c>
      <c r="F32" s="174"/>
      <c r="G32" s="174">
        <v>0</v>
      </c>
      <c r="H32" s="174"/>
      <c r="I32" s="174">
        <v>12445466</v>
      </c>
      <c r="J32" s="171"/>
      <c r="K32" s="5" t="s">
        <v>22</v>
      </c>
      <c r="L32" s="131">
        <f>C32</f>
        <v>27</v>
      </c>
      <c r="M32" s="16">
        <f>E32</f>
        <v>14479166</v>
      </c>
      <c r="N32" s="16">
        <f>G32</f>
        <v>0</v>
      </c>
      <c r="O32" s="16">
        <f t="shared" si="1"/>
        <v>12445466</v>
      </c>
      <c r="Q32" s="5" t="s">
        <v>319</v>
      </c>
      <c r="R32" s="9">
        <v>2860043.2410587999</v>
      </c>
      <c r="S32" s="50">
        <v>7.3969884202817734E-2</v>
      </c>
      <c r="T32" s="9">
        <v>2910385.1256281408</v>
      </c>
      <c r="U32" s="50">
        <v>7.6694471532418068E-2</v>
      </c>
      <c r="V32" s="9">
        <v>2502104.1415359871</v>
      </c>
      <c r="W32" s="50">
        <v>7.2298706458136852E-2</v>
      </c>
    </row>
    <row r="33" spans="2:23">
      <c r="B33" s="10" t="s">
        <v>661</v>
      </c>
      <c r="C33" s="22">
        <v>28</v>
      </c>
      <c r="D33" s="15"/>
      <c r="E33" s="172">
        <v>14479166</v>
      </c>
      <c r="F33" s="172"/>
      <c r="G33" s="172">
        <v>0</v>
      </c>
      <c r="H33" s="172"/>
      <c r="I33" s="172">
        <v>12445466</v>
      </c>
      <c r="J33" s="171"/>
      <c r="K33" s="10" t="s">
        <v>23</v>
      </c>
      <c r="L33" s="131">
        <f>C33</f>
        <v>28</v>
      </c>
      <c r="M33" s="13">
        <f>E33</f>
        <v>14479166</v>
      </c>
      <c r="N33" s="13">
        <f>G33</f>
        <v>0</v>
      </c>
      <c r="O33" s="13">
        <f t="shared" si="1"/>
        <v>12445466</v>
      </c>
      <c r="Q33" s="10" t="s">
        <v>320</v>
      </c>
      <c r="R33" s="13">
        <v>2860043.2410587999</v>
      </c>
      <c r="S33" s="53">
        <v>7.3969884202817734E-2</v>
      </c>
      <c r="T33" s="13">
        <v>2910385.1256281408</v>
      </c>
      <c r="U33" s="53">
        <v>7.6694471532418068E-2</v>
      </c>
      <c r="V33" s="13">
        <v>2502104.1415359871</v>
      </c>
      <c r="W33" s="53">
        <v>7.2298706458136852E-2</v>
      </c>
    </row>
    <row r="34" spans="2:23">
      <c r="B34" s="10" t="s">
        <v>662</v>
      </c>
      <c r="C34" s="22">
        <v>29</v>
      </c>
      <c r="D34" s="15"/>
      <c r="E34" s="172">
        <v>0</v>
      </c>
      <c r="F34" s="172"/>
      <c r="G34" s="172">
        <v>0</v>
      </c>
      <c r="H34" s="172"/>
      <c r="I34" s="172">
        <v>0</v>
      </c>
      <c r="J34" s="171"/>
      <c r="K34" s="10" t="s">
        <v>24</v>
      </c>
      <c r="L34" s="131">
        <f>C34</f>
        <v>29</v>
      </c>
      <c r="M34" s="13">
        <f>E34</f>
        <v>0</v>
      </c>
      <c r="N34" s="13">
        <f>G34</f>
        <v>0</v>
      </c>
      <c r="O34" s="13">
        <f t="shared" si="1"/>
        <v>0</v>
      </c>
      <c r="Q34" s="10" t="s">
        <v>321</v>
      </c>
      <c r="R34" s="13">
        <v>0</v>
      </c>
      <c r="S34" s="53"/>
      <c r="T34" s="13">
        <v>0</v>
      </c>
      <c r="U34" s="53"/>
      <c r="V34" s="13">
        <v>0</v>
      </c>
      <c r="W34" s="53"/>
    </row>
    <row r="35" spans="2:23">
      <c r="B35" s="10" t="s">
        <v>663</v>
      </c>
      <c r="C35" s="22">
        <v>30</v>
      </c>
      <c r="D35" s="15"/>
      <c r="E35" s="172">
        <v>0</v>
      </c>
      <c r="F35" s="172"/>
      <c r="G35" s="172">
        <v>0</v>
      </c>
      <c r="H35" s="172"/>
      <c r="I35" s="172">
        <v>0</v>
      </c>
      <c r="J35" s="171"/>
      <c r="K35" s="10" t="s">
        <v>25</v>
      </c>
      <c r="L35" s="131">
        <f>C35</f>
        <v>30</v>
      </c>
      <c r="M35" s="13">
        <f>E35</f>
        <v>0</v>
      </c>
      <c r="N35" s="13">
        <f>G35</f>
        <v>0</v>
      </c>
      <c r="O35" s="13">
        <f t="shared" si="1"/>
        <v>0</v>
      </c>
      <c r="Q35" s="10" t="s">
        <v>322</v>
      </c>
      <c r="R35" s="13">
        <v>0</v>
      </c>
      <c r="S35" s="53"/>
      <c r="T35" s="13">
        <v>0</v>
      </c>
      <c r="U35" s="53"/>
      <c r="V35" s="13">
        <v>0</v>
      </c>
      <c r="W35" s="53"/>
    </row>
    <row r="36" spans="2:23" ht="12" thickBot="1">
      <c r="B36" s="5" t="s">
        <v>664</v>
      </c>
      <c r="C36" s="4">
        <v>31</v>
      </c>
      <c r="D36" s="32"/>
      <c r="E36" s="174">
        <v>-32931</v>
      </c>
      <c r="F36" s="174"/>
      <c r="G36" s="174">
        <v>0</v>
      </c>
      <c r="H36" s="174"/>
      <c r="I36" s="174">
        <v>181561</v>
      </c>
      <c r="J36" s="171"/>
      <c r="K36" s="5" t="s">
        <v>26</v>
      </c>
      <c r="L36" s="131">
        <f>C36</f>
        <v>31</v>
      </c>
      <c r="M36" s="16">
        <f>E36</f>
        <v>-32931</v>
      </c>
      <c r="N36" s="16">
        <f>G36</f>
        <v>0</v>
      </c>
      <c r="O36" s="16">
        <f t="shared" si="1"/>
        <v>181561</v>
      </c>
      <c r="Q36" s="5" t="s">
        <v>323</v>
      </c>
      <c r="R36" s="9">
        <v>1497.2721761972061</v>
      </c>
      <c r="S36" s="50">
        <v>3.87242569984386E-5</v>
      </c>
      <c r="T36" s="9">
        <v>-6619.2964824120609</v>
      </c>
      <c r="U36" s="50">
        <v>-1.7443170704956761E-4</v>
      </c>
      <c r="V36" s="9">
        <v>36502.010454362688</v>
      </c>
      <c r="W36" s="50">
        <v>1.0547315338168765E-3</v>
      </c>
    </row>
    <row r="37" spans="2:23">
      <c r="B37" s="10" t="s">
        <v>665</v>
      </c>
      <c r="C37" s="22">
        <v>32</v>
      </c>
      <c r="D37" s="15"/>
      <c r="E37" s="172">
        <v>40085</v>
      </c>
      <c r="F37" s="172"/>
      <c r="G37" s="172">
        <v>0</v>
      </c>
      <c r="H37" s="172"/>
      <c r="I37" s="172">
        <v>241919</v>
      </c>
      <c r="J37" s="171"/>
      <c r="K37" s="10" t="s">
        <v>27</v>
      </c>
      <c r="L37" s="131">
        <f>C37</f>
        <v>32</v>
      </c>
      <c r="M37" s="13">
        <f>E37</f>
        <v>40085</v>
      </c>
      <c r="N37" s="13">
        <f>G37</f>
        <v>0</v>
      </c>
      <c r="O37" s="13">
        <f t="shared" si="1"/>
        <v>241919</v>
      </c>
      <c r="Q37" s="10" t="s">
        <v>324</v>
      </c>
      <c r="R37" s="13">
        <v>60289.351384118003</v>
      </c>
      <c r="S37" s="53">
        <v>1.5592758446880113E-3</v>
      </c>
      <c r="T37" s="13">
        <v>8057.2864321608049</v>
      </c>
      <c r="U37" s="53">
        <v>2.1232561954030905E-4</v>
      </c>
      <c r="V37" s="13">
        <v>48636.710896662647</v>
      </c>
      <c r="W37" s="53">
        <v>1.405365678363993E-3</v>
      </c>
    </row>
    <row r="38" spans="2:23">
      <c r="B38" s="10" t="s">
        <v>666</v>
      </c>
      <c r="C38" s="22">
        <v>33</v>
      </c>
      <c r="D38" s="15"/>
      <c r="E38" s="172">
        <v>73016</v>
      </c>
      <c r="F38" s="172"/>
      <c r="G38" s="172">
        <v>0</v>
      </c>
      <c r="H38" s="172"/>
      <c r="I38" s="172">
        <v>60358</v>
      </c>
      <c r="J38" s="171"/>
      <c r="K38" s="10" t="s">
        <v>28</v>
      </c>
      <c r="L38" s="131">
        <f>C38</f>
        <v>33</v>
      </c>
      <c r="M38" s="13">
        <f>E38</f>
        <v>73016</v>
      </c>
      <c r="N38" s="13">
        <f>G38</f>
        <v>0</v>
      </c>
      <c r="O38" s="13">
        <f t="shared" si="1"/>
        <v>60358</v>
      </c>
      <c r="Q38" s="10" t="s">
        <v>325</v>
      </c>
      <c r="R38" s="13">
        <v>58792.079207920797</v>
      </c>
      <c r="S38" s="53">
        <v>1.5205515876895725E-3</v>
      </c>
      <c r="T38" s="13">
        <v>14676.582914572866</v>
      </c>
      <c r="U38" s="53">
        <v>3.8675732658987667E-4</v>
      </c>
      <c r="V38" s="13">
        <v>12134.70044229996</v>
      </c>
      <c r="W38" s="53">
        <v>3.5063414454711652E-4</v>
      </c>
    </row>
    <row r="39" spans="2:23" ht="23.25" thickBot="1">
      <c r="B39" s="5" t="s">
        <v>667</v>
      </c>
      <c r="C39" s="4">
        <v>34</v>
      </c>
      <c r="D39" s="32"/>
      <c r="E39" s="174">
        <v>103349844</v>
      </c>
      <c r="F39" s="174"/>
      <c r="G39" s="174">
        <v>0</v>
      </c>
      <c r="H39" s="174"/>
      <c r="I39" s="174">
        <v>97460549</v>
      </c>
      <c r="J39" s="171"/>
      <c r="K39" s="5" t="s">
        <v>29</v>
      </c>
      <c r="L39" s="131">
        <f>C39</f>
        <v>34</v>
      </c>
      <c r="M39" s="16">
        <f>E39</f>
        <v>103349844</v>
      </c>
      <c r="N39" s="16">
        <f>G39</f>
        <v>0</v>
      </c>
      <c r="O39" s="16">
        <f t="shared" si="1"/>
        <v>97460549</v>
      </c>
      <c r="Q39" s="5" t="s">
        <v>326</v>
      </c>
      <c r="R39" s="9">
        <v>20860356.839765608</v>
      </c>
      <c r="S39" s="50">
        <v>0.53951992550895322</v>
      </c>
      <c r="T39" s="9">
        <v>20773837.989949752</v>
      </c>
      <c r="U39" s="50">
        <v>0.54743219799661458</v>
      </c>
      <c r="V39" s="9">
        <v>19593998.592681941</v>
      </c>
      <c r="W39" s="50">
        <v>0.56617177881486014</v>
      </c>
    </row>
    <row r="40" spans="2:23" ht="22.5">
      <c r="B40" s="10" t="s">
        <v>668</v>
      </c>
      <c r="C40" s="22">
        <v>35</v>
      </c>
      <c r="D40" s="15"/>
      <c r="E40" s="172">
        <v>99985334</v>
      </c>
      <c r="F40" s="172"/>
      <c r="G40" s="172">
        <v>0</v>
      </c>
      <c r="H40" s="172"/>
      <c r="I40" s="172">
        <v>95276172</v>
      </c>
      <c r="J40" s="171"/>
      <c r="K40" s="10" t="s">
        <v>30</v>
      </c>
      <c r="L40" s="131">
        <f>C40</f>
        <v>35</v>
      </c>
      <c r="M40" s="13">
        <f>E40</f>
        <v>99985334</v>
      </c>
      <c r="N40" s="13">
        <f>G40</f>
        <v>0</v>
      </c>
      <c r="O40" s="13">
        <f t="shared" si="1"/>
        <v>95276172</v>
      </c>
      <c r="Q40" s="10" t="s">
        <v>327</v>
      </c>
      <c r="R40" s="13">
        <v>20609083.653263286</v>
      </c>
      <c r="S40" s="53">
        <v>0.53301695214709788</v>
      </c>
      <c r="T40" s="13">
        <v>20097554.572864324</v>
      </c>
      <c r="U40" s="53">
        <v>0.5296107767617495</v>
      </c>
      <c r="V40" s="13">
        <v>19154839.565741856</v>
      </c>
      <c r="W40" s="53">
        <v>0.55348220724583208</v>
      </c>
    </row>
    <row r="41" spans="2:23">
      <c r="B41" s="10" t="s">
        <v>669</v>
      </c>
      <c r="C41" s="22">
        <v>36</v>
      </c>
      <c r="D41" s="15"/>
      <c r="E41" s="172">
        <v>174978</v>
      </c>
      <c r="F41" s="172">
        <v>0</v>
      </c>
      <c r="G41" s="172">
        <v>0</v>
      </c>
      <c r="H41" s="172"/>
      <c r="I41" s="172">
        <v>425184</v>
      </c>
      <c r="J41" s="171"/>
      <c r="K41" s="10" t="s">
        <v>31</v>
      </c>
      <c r="L41" s="131">
        <f>C41</f>
        <v>36</v>
      </c>
      <c r="M41" s="13">
        <f>E41</f>
        <v>174978</v>
      </c>
      <c r="N41" s="13">
        <f>G41</f>
        <v>0</v>
      </c>
      <c r="O41" s="13">
        <f t="shared" si="1"/>
        <v>425184</v>
      </c>
      <c r="Q41" s="10" t="s">
        <v>328</v>
      </c>
      <c r="R41" s="13">
        <v>164.07355021216406</v>
      </c>
      <c r="S41" s="53">
        <v>4.2434678384254051E-6</v>
      </c>
      <c r="T41" s="13">
        <v>35171.45728643216</v>
      </c>
      <c r="U41" s="53">
        <v>9.2683827506359466E-4</v>
      </c>
      <c r="V41" s="13">
        <v>85481.302774427022</v>
      </c>
      <c r="W41" s="53">
        <v>2.4699961581749097E-3</v>
      </c>
    </row>
    <row r="42" spans="2:23">
      <c r="B42" s="10" t="s">
        <v>670</v>
      </c>
      <c r="C42" s="22">
        <v>37</v>
      </c>
      <c r="D42" s="15"/>
      <c r="E42" s="172">
        <v>0</v>
      </c>
      <c r="F42" s="172"/>
      <c r="G42" s="172">
        <v>0</v>
      </c>
      <c r="H42" s="172"/>
      <c r="I42" s="172">
        <v>0</v>
      </c>
      <c r="J42" s="171"/>
      <c r="K42" s="12" t="s">
        <v>32</v>
      </c>
      <c r="L42" s="131"/>
      <c r="M42" s="13">
        <f>E42</f>
        <v>0</v>
      </c>
      <c r="N42" s="13">
        <f>G42</f>
        <v>0</v>
      </c>
      <c r="O42" s="13">
        <f t="shared" si="1"/>
        <v>0</v>
      </c>
      <c r="Q42" s="12" t="s">
        <v>329</v>
      </c>
      <c r="R42" s="13">
        <v>0</v>
      </c>
      <c r="S42" s="53"/>
      <c r="T42" s="13">
        <v>0</v>
      </c>
      <c r="U42" s="53"/>
      <c r="V42" s="13">
        <v>0</v>
      </c>
      <c r="W42" s="53"/>
    </row>
    <row r="43" spans="2:23">
      <c r="B43" s="10" t="s">
        <v>671</v>
      </c>
      <c r="C43" s="22">
        <v>38</v>
      </c>
      <c r="D43" s="15"/>
      <c r="E43" s="172">
        <v>0</v>
      </c>
      <c r="F43" s="172"/>
      <c r="G43" s="172">
        <v>0</v>
      </c>
      <c r="H43" s="172"/>
      <c r="I43" s="172">
        <v>0</v>
      </c>
      <c r="J43" s="171"/>
      <c r="K43" s="12" t="s">
        <v>33</v>
      </c>
      <c r="L43" s="131"/>
      <c r="M43" s="13">
        <f>E43</f>
        <v>0</v>
      </c>
      <c r="N43" s="13">
        <f>G43</f>
        <v>0</v>
      </c>
      <c r="O43" s="13">
        <f t="shared" si="1"/>
        <v>0</v>
      </c>
      <c r="Q43" s="12" t="s">
        <v>330</v>
      </c>
      <c r="R43" s="13">
        <v>0</v>
      </c>
      <c r="S43" s="53"/>
      <c r="T43" s="13">
        <v>0</v>
      </c>
      <c r="U43" s="53"/>
      <c r="V43" s="13">
        <v>0</v>
      </c>
      <c r="W43" s="53"/>
    </row>
    <row r="44" spans="2:23">
      <c r="B44" s="10" t="s">
        <v>672</v>
      </c>
      <c r="C44" s="22">
        <v>39</v>
      </c>
      <c r="D44" s="15"/>
      <c r="E44" s="172">
        <v>174978</v>
      </c>
      <c r="F44" s="172"/>
      <c r="G44" s="172">
        <v>0</v>
      </c>
      <c r="H44" s="172"/>
      <c r="I44" s="172">
        <v>425184</v>
      </c>
      <c r="J44" s="171"/>
      <c r="K44" s="12" t="s">
        <v>34</v>
      </c>
      <c r="L44" s="131"/>
      <c r="M44" s="13">
        <f>E44</f>
        <v>174978</v>
      </c>
      <c r="N44" s="13">
        <f>G44</f>
        <v>0</v>
      </c>
      <c r="O44" s="13">
        <f t="shared" si="1"/>
        <v>425184</v>
      </c>
      <c r="Q44" s="12" t="s">
        <v>331</v>
      </c>
      <c r="R44" s="13">
        <v>164.07355021216406</v>
      </c>
      <c r="S44" s="53">
        <v>4.2434678384254051E-6</v>
      </c>
      <c r="T44" s="13">
        <v>35171.45728643216</v>
      </c>
      <c r="U44" s="53">
        <v>9.2683827506359466E-4</v>
      </c>
      <c r="V44" s="13">
        <v>85481.302774427022</v>
      </c>
      <c r="W44" s="53">
        <v>2.4699961581749097E-3</v>
      </c>
    </row>
    <row r="45" spans="2:23">
      <c r="B45" s="10" t="s">
        <v>673</v>
      </c>
      <c r="C45" s="22">
        <v>40</v>
      </c>
      <c r="D45" s="15"/>
      <c r="E45" s="172">
        <v>0</v>
      </c>
      <c r="F45" s="172"/>
      <c r="G45" s="172">
        <v>0</v>
      </c>
      <c r="H45" s="172"/>
      <c r="I45" s="172">
        <v>0</v>
      </c>
      <c r="J45" s="171"/>
      <c r="K45" s="10" t="s">
        <v>35</v>
      </c>
      <c r="L45" s="131"/>
      <c r="M45" s="13">
        <f>E45</f>
        <v>0</v>
      </c>
      <c r="N45" s="13">
        <f>G45</f>
        <v>0</v>
      </c>
      <c r="O45" s="13">
        <f t="shared" si="1"/>
        <v>0</v>
      </c>
      <c r="Q45" s="10" t="s">
        <v>332</v>
      </c>
      <c r="R45" s="13">
        <v>0</v>
      </c>
      <c r="S45" s="53"/>
      <c r="T45" s="13">
        <v>0</v>
      </c>
      <c r="U45" s="53"/>
      <c r="V45" s="13">
        <v>0</v>
      </c>
      <c r="W45" s="53"/>
    </row>
    <row r="46" spans="2:23">
      <c r="B46" s="12" t="s">
        <v>674</v>
      </c>
      <c r="C46" s="22">
        <v>41</v>
      </c>
      <c r="D46" s="15"/>
      <c r="E46" s="172"/>
      <c r="F46" s="172"/>
      <c r="G46" s="172"/>
      <c r="H46" s="172"/>
      <c r="I46" s="172"/>
      <c r="J46" s="171"/>
      <c r="K46" s="10" t="s">
        <v>36</v>
      </c>
      <c r="L46" s="131"/>
      <c r="M46" s="13">
        <f>E46</f>
        <v>0</v>
      </c>
      <c r="N46" s="13">
        <f>G46</f>
        <v>0</v>
      </c>
      <c r="O46" s="13">
        <f t="shared" si="1"/>
        <v>0</v>
      </c>
      <c r="Q46" s="10" t="s">
        <v>36</v>
      </c>
      <c r="R46" s="13">
        <v>0</v>
      </c>
      <c r="S46" s="53"/>
      <c r="T46" s="13">
        <v>0</v>
      </c>
      <c r="U46" s="53"/>
      <c r="V46" s="13">
        <v>0</v>
      </c>
      <c r="W46" s="53"/>
    </row>
    <row r="47" spans="2:23">
      <c r="B47" s="10" t="s">
        <v>675</v>
      </c>
      <c r="C47" s="22">
        <v>42</v>
      </c>
      <c r="D47" s="15"/>
      <c r="E47" s="172">
        <v>0</v>
      </c>
      <c r="F47" s="172"/>
      <c r="G47" s="172">
        <v>0</v>
      </c>
      <c r="H47" s="172"/>
      <c r="I47" s="172">
        <v>0</v>
      </c>
      <c r="J47" s="171"/>
      <c r="K47" s="10" t="s">
        <v>37</v>
      </c>
      <c r="L47" s="131">
        <f>C47</f>
        <v>42</v>
      </c>
      <c r="M47" s="13">
        <f>E47</f>
        <v>0</v>
      </c>
      <c r="N47" s="13">
        <f>G47</f>
        <v>0</v>
      </c>
      <c r="O47" s="13">
        <f t="shared" si="1"/>
        <v>0</v>
      </c>
      <c r="Q47" s="10" t="s">
        <v>333</v>
      </c>
      <c r="R47" s="13">
        <v>0</v>
      </c>
      <c r="S47" s="53"/>
      <c r="T47" s="13">
        <v>0</v>
      </c>
      <c r="U47" s="53"/>
      <c r="V47" s="13">
        <v>0</v>
      </c>
      <c r="W47" s="53"/>
    </row>
    <row r="48" spans="2:23">
      <c r="B48" s="12" t="s">
        <v>674</v>
      </c>
      <c r="C48" s="22">
        <v>43</v>
      </c>
      <c r="D48" s="15"/>
      <c r="E48" s="172"/>
      <c r="F48" s="172"/>
      <c r="G48" s="172"/>
      <c r="H48" s="172"/>
      <c r="I48" s="172"/>
      <c r="J48" s="171"/>
      <c r="K48" s="10" t="s">
        <v>36</v>
      </c>
      <c r="L48" s="131">
        <f>C48</f>
        <v>43</v>
      </c>
      <c r="M48" s="13">
        <f>E48</f>
        <v>0</v>
      </c>
      <c r="N48" s="13">
        <f>G48</f>
        <v>0</v>
      </c>
      <c r="O48" s="13">
        <f t="shared" si="1"/>
        <v>0</v>
      </c>
      <c r="Q48" s="10" t="s">
        <v>36</v>
      </c>
      <c r="R48" s="13">
        <v>0</v>
      </c>
      <c r="S48" s="53"/>
      <c r="T48" s="13">
        <v>0</v>
      </c>
      <c r="U48" s="53"/>
      <c r="V48" s="13">
        <v>0</v>
      </c>
      <c r="W48" s="53"/>
    </row>
    <row r="49" spans="2:23">
      <c r="B49" s="10" t="s">
        <v>676</v>
      </c>
      <c r="C49" s="22">
        <v>44</v>
      </c>
      <c r="D49" s="15"/>
      <c r="E49" s="172">
        <v>0</v>
      </c>
      <c r="F49" s="172"/>
      <c r="G49" s="172">
        <v>0</v>
      </c>
      <c r="H49" s="172"/>
      <c r="I49" s="172">
        <v>0</v>
      </c>
      <c r="J49" s="171"/>
      <c r="K49" s="10" t="s">
        <v>38</v>
      </c>
      <c r="L49" s="131"/>
      <c r="M49" s="13">
        <f>E49</f>
        <v>0</v>
      </c>
      <c r="N49" s="13">
        <f>G49</f>
        <v>0</v>
      </c>
      <c r="O49" s="13">
        <f t="shared" si="1"/>
        <v>0</v>
      </c>
      <c r="Q49" s="10" t="s">
        <v>334</v>
      </c>
      <c r="R49" s="13">
        <v>0</v>
      </c>
      <c r="S49" s="53"/>
      <c r="T49" s="13">
        <v>0</v>
      </c>
      <c r="U49" s="53"/>
      <c r="V49" s="13">
        <v>0</v>
      </c>
      <c r="W49" s="53"/>
    </row>
    <row r="50" spans="2:23">
      <c r="B50" s="12" t="s">
        <v>674</v>
      </c>
      <c r="C50" s="22">
        <v>45</v>
      </c>
      <c r="D50" s="15"/>
      <c r="E50" s="172"/>
      <c r="F50" s="172"/>
      <c r="G50" s="172"/>
      <c r="H50" s="172"/>
      <c r="I50" s="172"/>
      <c r="J50" s="171"/>
      <c r="K50" s="10" t="s">
        <v>36</v>
      </c>
      <c r="L50" s="131"/>
      <c r="M50" s="13">
        <f>E50</f>
        <v>0</v>
      </c>
      <c r="N50" s="13">
        <f>G50</f>
        <v>0</v>
      </c>
      <c r="O50" s="13">
        <f t="shared" si="1"/>
        <v>0</v>
      </c>
      <c r="Q50" s="10" t="s">
        <v>36</v>
      </c>
      <c r="R50" s="13">
        <v>0</v>
      </c>
      <c r="S50" s="53"/>
      <c r="T50" s="13">
        <v>0</v>
      </c>
      <c r="U50" s="53"/>
      <c r="V50" s="13">
        <v>0</v>
      </c>
      <c r="W50" s="53"/>
    </row>
    <row r="51" spans="2:23" ht="22.5">
      <c r="B51" s="10" t="s">
        <v>677</v>
      </c>
      <c r="C51" s="22">
        <v>46</v>
      </c>
      <c r="D51" s="15"/>
      <c r="E51" s="172">
        <v>536849</v>
      </c>
      <c r="F51" s="172"/>
      <c r="G51" s="172">
        <v>0</v>
      </c>
      <c r="H51" s="172"/>
      <c r="I51" s="172">
        <v>631644</v>
      </c>
      <c r="J51" s="171"/>
      <c r="K51" s="10" t="s">
        <v>39</v>
      </c>
      <c r="L51" s="131"/>
      <c r="M51" s="13">
        <f>E51</f>
        <v>536849</v>
      </c>
      <c r="N51" s="13">
        <f>G51</f>
        <v>0</v>
      </c>
      <c r="O51" s="13">
        <f t="shared" si="1"/>
        <v>631644</v>
      </c>
      <c r="Q51" s="10" t="s">
        <v>335</v>
      </c>
      <c r="R51" s="13">
        <v>101415.23540109114</v>
      </c>
      <c r="S51" s="53">
        <v>2.6229230073609175E-3</v>
      </c>
      <c r="T51" s="13">
        <v>107909.34673366835</v>
      </c>
      <c r="U51" s="53">
        <v>2.8436272053036144E-3</v>
      </c>
      <c r="V51" s="13">
        <v>126989.1435464415</v>
      </c>
      <c r="W51" s="53">
        <v>3.6693719738612757E-3</v>
      </c>
    </row>
    <row r="52" spans="2:23">
      <c r="B52" s="10" t="s">
        <v>678</v>
      </c>
      <c r="C52" s="22">
        <v>47</v>
      </c>
      <c r="D52" s="15"/>
      <c r="E52" s="172">
        <v>0</v>
      </c>
      <c r="F52" s="172"/>
      <c r="G52" s="172">
        <v>0</v>
      </c>
      <c r="H52" s="172"/>
      <c r="I52" s="172">
        <v>0</v>
      </c>
      <c r="J52" s="171"/>
      <c r="K52" s="10" t="s">
        <v>40</v>
      </c>
      <c r="L52" s="131"/>
      <c r="M52" s="13">
        <f>E52</f>
        <v>0</v>
      </c>
      <c r="N52" s="13">
        <f>G52</f>
        <v>0</v>
      </c>
      <c r="O52" s="13">
        <f t="shared" si="1"/>
        <v>0</v>
      </c>
      <c r="Q52" s="10" t="s">
        <v>336</v>
      </c>
      <c r="R52" s="13">
        <v>0</v>
      </c>
      <c r="S52" s="53"/>
      <c r="T52" s="13">
        <v>0</v>
      </c>
      <c r="U52" s="53"/>
      <c r="V52" s="13">
        <v>0</v>
      </c>
      <c r="W52" s="53"/>
    </row>
    <row r="53" spans="2:23">
      <c r="B53" s="10" t="s">
        <v>679</v>
      </c>
      <c r="C53" s="22">
        <v>48</v>
      </c>
      <c r="D53" s="15"/>
      <c r="E53" s="172">
        <v>0</v>
      </c>
      <c r="F53" s="172"/>
      <c r="G53" s="172">
        <v>0</v>
      </c>
      <c r="H53" s="172"/>
      <c r="I53" s="172">
        <v>0</v>
      </c>
      <c r="J53" s="171"/>
      <c r="K53" s="10" t="s">
        <v>41</v>
      </c>
      <c r="L53" s="131">
        <f>C53</f>
        <v>48</v>
      </c>
      <c r="M53" s="13">
        <f>E53</f>
        <v>0</v>
      </c>
      <c r="N53" s="13">
        <f>G53</f>
        <v>0</v>
      </c>
      <c r="O53" s="13">
        <f t="shared" si="1"/>
        <v>0</v>
      </c>
      <c r="Q53" s="10" t="s">
        <v>337</v>
      </c>
      <c r="R53" s="13">
        <v>0</v>
      </c>
      <c r="S53" s="53"/>
      <c r="T53" s="13">
        <v>0</v>
      </c>
      <c r="U53" s="53"/>
      <c r="V53" s="13">
        <v>0</v>
      </c>
      <c r="W53" s="53"/>
    </row>
    <row r="54" spans="2:23">
      <c r="B54" s="10" t="s">
        <v>680</v>
      </c>
      <c r="C54" s="22">
        <v>49</v>
      </c>
      <c r="D54" s="15"/>
      <c r="E54" s="172">
        <v>0</v>
      </c>
      <c r="F54" s="172"/>
      <c r="G54" s="172">
        <v>0</v>
      </c>
      <c r="H54" s="172"/>
      <c r="I54" s="172">
        <v>0</v>
      </c>
      <c r="J54" s="171"/>
      <c r="K54" s="10" t="s">
        <v>42</v>
      </c>
      <c r="L54" s="131">
        <f>C54</f>
        <v>49</v>
      </c>
      <c r="M54" s="13">
        <f>E54</f>
        <v>0</v>
      </c>
      <c r="N54" s="13">
        <f>G54</f>
        <v>0</v>
      </c>
      <c r="O54" s="13">
        <f t="shared" si="1"/>
        <v>0</v>
      </c>
      <c r="Q54" s="10" t="s">
        <v>338</v>
      </c>
      <c r="R54" s="13">
        <v>0</v>
      </c>
      <c r="S54" s="53"/>
      <c r="T54" s="13">
        <v>0</v>
      </c>
      <c r="U54" s="53"/>
      <c r="V54" s="13">
        <v>0</v>
      </c>
      <c r="W54" s="53"/>
    </row>
    <row r="55" spans="2:23">
      <c r="B55" s="10" t="s">
        <v>681</v>
      </c>
      <c r="C55" s="22">
        <v>50</v>
      </c>
      <c r="D55" s="15"/>
      <c r="E55" s="172">
        <v>2652683</v>
      </c>
      <c r="F55" s="172"/>
      <c r="G55" s="172">
        <v>0</v>
      </c>
      <c r="H55" s="172"/>
      <c r="I55" s="172">
        <v>1127549</v>
      </c>
      <c r="J55" s="171"/>
      <c r="K55" s="10" t="s">
        <v>43</v>
      </c>
      <c r="L55" s="131">
        <f>C55</f>
        <v>50</v>
      </c>
      <c r="M55" s="13">
        <f>E55</f>
        <v>2652683</v>
      </c>
      <c r="N55" s="13">
        <f>G55</f>
        <v>0</v>
      </c>
      <c r="O55" s="13">
        <f t="shared" si="1"/>
        <v>1127549</v>
      </c>
      <c r="Q55" s="10" t="s">
        <v>339</v>
      </c>
      <c r="R55" s="13">
        <v>149693.87755102041</v>
      </c>
      <c r="S55" s="53">
        <v>3.8715634188175932E-3</v>
      </c>
      <c r="T55" s="13">
        <v>533202.6130653267</v>
      </c>
      <c r="U55" s="53">
        <v>1.4050955754497834E-2</v>
      </c>
      <c r="V55" s="13">
        <v>226688.58061921992</v>
      </c>
      <c r="W55" s="53">
        <v>6.5502034369918933E-3</v>
      </c>
    </row>
    <row r="56" spans="2:23" ht="12" thickBot="1">
      <c r="B56" s="5" t="s">
        <v>682</v>
      </c>
      <c r="C56" s="4">
        <v>51</v>
      </c>
      <c r="D56" s="32"/>
      <c r="E56" s="174">
        <v>0</v>
      </c>
      <c r="F56" s="174"/>
      <c r="G56" s="174">
        <v>0</v>
      </c>
      <c r="H56" s="174"/>
      <c r="I56" s="174">
        <v>0</v>
      </c>
      <c r="J56" s="171"/>
      <c r="K56" s="5" t="s">
        <v>44</v>
      </c>
      <c r="L56" s="131">
        <f>C56</f>
        <v>51</v>
      </c>
      <c r="M56" s="16">
        <f>E56</f>
        <v>0</v>
      </c>
      <c r="N56" s="16">
        <f>G56</f>
        <v>0</v>
      </c>
      <c r="O56" s="16">
        <f t="shared" si="1"/>
        <v>0</v>
      </c>
      <c r="Q56" s="5" t="s">
        <v>340</v>
      </c>
      <c r="R56" s="9">
        <v>0</v>
      </c>
      <c r="S56" s="50"/>
      <c r="T56" s="9">
        <v>0</v>
      </c>
      <c r="U56" s="50"/>
      <c r="V56" s="9">
        <v>0</v>
      </c>
      <c r="W56" s="50">
        <v>0</v>
      </c>
    </row>
    <row r="57" spans="2:23">
      <c r="B57" s="10" t="s">
        <v>683</v>
      </c>
      <c r="C57" s="22">
        <v>52</v>
      </c>
      <c r="D57" s="15"/>
      <c r="E57" s="172">
        <v>0</v>
      </c>
      <c r="F57" s="172"/>
      <c r="G57" s="172">
        <v>0</v>
      </c>
      <c r="H57" s="172"/>
      <c r="I57" s="172">
        <v>0</v>
      </c>
      <c r="J57" s="171"/>
      <c r="K57" s="10" t="s">
        <v>45</v>
      </c>
      <c r="L57" s="131">
        <f>C57</f>
        <v>52</v>
      </c>
      <c r="M57" s="13">
        <f>E57</f>
        <v>0</v>
      </c>
      <c r="N57" s="13">
        <f>G57</f>
        <v>0</v>
      </c>
      <c r="O57" s="13">
        <f t="shared" si="1"/>
        <v>0</v>
      </c>
      <c r="Q57" s="10" t="s">
        <v>341</v>
      </c>
      <c r="R57" s="13">
        <v>0</v>
      </c>
      <c r="S57" s="53"/>
      <c r="T57" s="13">
        <v>0</v>
      </c>
      <c r="U57" s="53"/>
      <c r="V57" s="13">
        <v>0</v>
      </c>
      <c r="W57" s="53"/>
    </row>
    <row r="58" spans="2:23">
      <c r="B58" s="10" t="s">
        <v>684</v>
      </c>
      <c r="C58" s="22">
        <v>53</v>
      </c>
      <c r="D58" s="15"/>
      <c r="E58" s="175">
        <v>0</v>
      </c>
      <c r="F58" s="175"/>
      <c r="G58" s="175">
        <v>0</v>
      </c>
      <c r="H58" s="175"/>
      <c r="I58" s="175">
        <v>0</v>
      </c>
      <c r="J58" s="171"/>
      <c r="K58" s="10" t="s">
        <v>46</v>
      </c>
      <c r="L58" s="131">
        <f>C58</f>
        <v>53</v>
      </c>
      <c r="M58" s="11">
        <f>E58</f>
        <v>0</v>
      </c>
      <c r="N58" s="11">
        <f>G58</f>
        <v>0</v>
      </c>
      <c r="O58" s="11">
        <f t="shared" si="1"/>
        <v>0</v>
      </c>
      <c r="Q58" s="10" t="s">
        <v>342</v>
      </c>
      <c r="R58" s="13">
        <v>0</v>
      </c>
      <c r="S58" s="53"/>
      <c r="T58" s="13">
        <v>0</v>
      </c>
      <c r="U58" s="53"/>
      <c r="V58" s="13">
        <v>0</v>
      </c>
      <c r="W58" s="53"/>
    </row>
    <row r="59" spans="2:23" ht="23.25" thickBot="1">
      <c r="B59" s="191" t="s">
        <v>685</v>
      </c>
      <c r="C59" s="195">
        <v>54</v>
      </c>
      <c r="D59" s="196"/>
      <c r="E59" s="198">
        <v>180113577</v>
      </c>
      <c r="F59" s="198"/>
      <c r="G59" s="198">
        <v>0</v>
      </c>
      <c r="H59" s="198"/>
      <c r="I59" s="198">
        <v>169394530</v>
      </c>
      <c r="J59" s="171"/>
      <c r="K59" s="191" t="s">
        <v>47</v>
      </c>
      <c r="L59" s="192">
        <f>C59</f>
        <v>54</v>
      </c>
      <c r="M59" s="198">
        <f>E59</f>
        <v>180113577</v>
      </c>
      <c r="N59" s="198">
        <f>G59</f>
        <v>0</v>
      </c>
      <c r="O59" s="198">
        <f t="shared" si="1"/>
        <v>169394530</v>
      </c>
      <c r="Q59" s="191" t="s">
        <v>343</v>
      </c>
      <c r="R59" s="189">
        <v>36168822.99454435</v>
      </c>
      <c r="S59" s="190">
        <v>0.93544167803148714</v>
      </c>
      <c r="T59" s="189">
        <v>36203734.070351765</v>
      </c>
      <c r="U59" s="190">
        <v>0.95404083383176153</v>
      </c>
      <c r="V59" s="189">
        <v>34055997.185363889</v>
      </c>
      <c r="W59" s="190">
        <v>0.98405358225108297</v>
      </c>
    </row>
    <row r="60" spans="2:23" ht="12">
      <c r="B60" s="186" t="s">
        <v>686</v>
      </c>
      <c r="C60" s="4"/>
      <c r="D60" s="32"/>
      <c r="E60" s="173"/>
      <c r="F60" s="173"/>
      <c r="G60" s="173"/>
      <c r="H60" s="173"/>
      <c r="I60" s="173"/>
      <c r="J60" s="171"/>
      <c r="K60" s="186" t="s">
        <v>48</v>
      </c>
      <c r="L60" s="131"/>
      <c r="M60" s="9"/>
      <c r="N60" s="9">
        <f>G60</f>
        <v>0</v>
      </c>
      <c r="O60" s="9"/>
      <c r="Q60" s="17" t="s">
        <v>48</v>
      </c>
      <c r="R60" s="9">
        <v>0</v>
      </c>
      <c r="S60" s="50"/>
      <c r="T60" s="9">
        <v>0</v>
      </c>
      <c r="U60" s="50"/>
      <c r="V60" s="9">
        <v>0</v>
      </c>
      <c r="W60" s="50"/>
    </row>
    <row r="61" spans="2:23">
      <c r="B61" s="5" t="s">
        <v>687</v>
      </c>
      <c r="C61" s="22">
        <v>55</v>
      </c>
      <c r="D61" s="32"/>
      <c r="E61" s="173">
        <v>8676641</v>
      </c>
      <c r="F61" s="173"/>
      <c r="G61" s="173">
        <v>0</v>
      </c>
      <c r="H61" s="173"/>
      <c r="I61" s="173">
        <v>2745009</v>
      </c>
      <c r="J61" s="171"/>
      <c r="K61" s="5" t="s">
        <v>49</v>
      </c>
      <c r="L61" s="131">
        <f>C61</f>
        <v>55</v>
      </c>
      <c r="M61" s="9">
        <f>E61</f>
        <v>8676641</v>
      </c>
      <c r="N61" s="9">
        <f>G61</f>
        <v>0</v>
      </c>
      <c r="O61" s="9">
        <f t="shared" si="1"/>
        <v>2745009</v>
      </c>
      <c r="Q61" s="5" t="s">
        <v>344</v>
      </c>
      <c r="R61" s="9">
        <v>2496145.4839361459</v>
      </c>
      <c r="S61" s="50">
        <v>6.4558321968512897E-2</v>
      </c>
      <c r="T61" s="9">
        <v>1744048.4422110468</v>
      </c>
      <c r="U61" s="50">
        <v>4.5959166168238433E-2</v>
      </c>
      <c r="V61" s="9">
        <v>551871.53196622431</v>
      </c>
      <c r="W61" s="50">
        <v>1.5946417748917058E-2</v>
      </c>
    </row>
    <row r="62" spans="2:23">
      <c r="B62" s="5" t="s">
        <v>688</v>
      </c>
      <c r="C62" s="22">
        <v>56</v>
      </c>
      <c r="D62" s="32"/>
      <c r="E62" s="173">
        <v>0</v>
      </c>
      <c r="F62" s="173"/>
      <c r="G62" s="173">
        <v>0</v>
      </c>
      <c r="H62" s="173"/>
      <c r="I62" s="173">
        <v>0</v>
      </c>
      <c r="J62" s="171"/>
      <c r="K62" s="5" t="s">
        <v>50</v>
      </c>
      <c r="L62" s="131">
        <f>C62</f>
        <v>56</v>
      </c>
      <c r="M62" s="9">
        <f>E62</f>
        <v>0</v>
      </c>
      <c r="N62" s="9">
        <f>G62</f>
        <v>0</v>
      </c>
      <c r="O62" s="9">
        <f t="shared" si="1"/>
        <v>0</v>
      </c>
      <c r="Q62" s="5" t="s">
        <v>345</v>
      </c>
      <c r="R62" s="9">
        <v>0</v>
      </c>
      <c r="S62" s="50"/>
      <c r="T62" s="9">
        <v>0</v>
      </c>
      <c r="U62" s="50"/>
      <c r="V62" s="9">
        <v>0</v>
      </c>
      <c r="W62" s="50"/>
    </row>
    <row r="63" spans="2:23">
      <c r="B63" s="5" t="s">
        <v>689</v>
      </c>
      <c r="C63" s="22">
        <v>57</v>
      </c>
      <c r="D63" s="15"/>
      <c r="E63" s="172">
        <v>0</v>
      </c>
      <c r="F63" s="172"/>
      <c r="G63" s="172">
        <v>0</v>
      </c>
      <c r="H63" s="172"/>
      <c r="I63" s="172">
        <v>0</v>
      </c>
      <c r="J63" s="171"/>
      <c r="K63" s="10" t="s">
        <v>76</v>
      </c>
      <c r="L63" s="131">
        <f>C63</f>
        <v>57</v>
      </c>
      <c r="M63" s="13">
        <f>E63</f>
        <v>0</v>
      </c>
      <c r="N63" s="13">
        <f>G63</f>
        <v>0</v>
      </c>
      <c r="O63" s="13">
        <f t="shared" si="1"/>
        <v>0</v>
      </c>
      <c r="Q63" s="10" t="s">
        <v>346</v>
      </c>
      <c r="R63" s="13">
        <v>0</v>
      </c>
      <c r="S63" s="53"/>
      <c r="T63" s="13">
        <v>0</v>
      </c>
      <c r="U63" s="53"/>
      <c r="V63" s="13">
        <v>0</v>
      </c>
      <c r="W63" s="53"/>
    </row>
    <row r="64" spans="2:23">
      <c r="B64" s="10" t="s">
        <v>690</v>
      </c>
      <c r="C64" s="22">
        <v>58</v>
      </c>
      <c r="D64" s="15"/>
      <c r="E64" s="176"/>
      <c r="F64" s="176"/>
      <c r="G64" s="176"/>
      <c r="H64" s="176"/>
      <c r="I64" s="176"/>
      <c r="J64" s="171"/>
      <c r="K64" s="12" t="s">
        <v>51</v>
      </c>
      <c r="L64" s="131">
        <f>C64</f>
        <v>58</v>
      </c>
      <c r="M64" s="18">
        <f>E64</f>
        <v>0</v>
      </c>
      <c r="N64" s="18">
        <f>G64</f>
        <v>0</v>
      </c>
      <c r="O64" s="18">
        <f t="shared" si="1"/>
        <v>0</v>
      </c>
      <c r="Q64" s="12" t="s">
        <v>368</v>
      </c>
      <c r="R64" s="18">
        <v>0</v>
      </c>
      <c r="S64" s="55"/>
      <c r="T64" s="18">
        <v>0</v>
      </c>
      <c r="U64" s="55"/>
      <c r="V64" s="18">
        <v>0</v>
      </c>
      <c r="W64" s="55"/>
    </row>
    <row r="65" spans="2:23">
      <c r="B65" s="5" t="s">
        <v>691</v>
      </c>
      <c r="C65" s="22">
        <v>59</v>
      </c>
      <c r="D65" s="15"/>
      <c r="E65" s="172">
        <v>1158914</v>
      </c>
      <c r="F65" s="172"/>
      <c r="G65" s="172">
        <v>0</v>
      </c>
      <c r="H65" s="172"/>
      <c r="I65" s="172">
        <v>1136183</v>
      </c>
      <c r="J65" s="171"/>
      <c r="K65" s="10" t="s">
        <v>77</v>
      </c>
      <c r="L65" s="131">
        <f>C65</f>
        <v>59</v>
      </c>
      <c r="M65" s="13">
        <f>E65</f>
        <v>1158914</v>
      </c>
      <c r="N65" s="13">
        <f>G65</f>
        <v>0</v>
      </c>
      <c r="O65" s="13">
        <f t="shared" si="1"/>
        <v>1136183</v>
      </c>
      <c r="Q65" s="10" t="s">
        <v>347</v>
      </c>
      <c r="R65" s="13">
        <v>73234.18872499495</v>
      </c>
      <c r="S65" s="53">
        <v>1.8940708244920572E-3</v>
      </c>
      <c r="T65" s="13">
        <v>232947.53768844221</v>
      </c>
      <c r="U65" s="53">
        <v>6.1386337294234176E-3</v>
      </c>
      <c r="V65" s="13">
        <v>228424.40691596299</v>
      </c>
      <c r="W65" s="53">
        <v>6.6003604203912734E-3</v>
      </c>
    </row>
    <row r="66" spans="2:23">
      <c r="B66" s="10" t="s">
        <v>690</v>
      </c>
      <c r="C66" s="22">
        <v>60</v>
      </c>
      <c r="D66" s="15"/>
      <c r="E66" s="177">
        <v>1042413</v>
      </c>
      <c r="F66" s="176"/>
      <c r="G66" s="176"/>
      <c r="H66" s="176"/>
      <c r="I66" s="176">
        <v>973283</v>
      </c>
      <c r="J66" s="171"/>
      <c r="K66" s="12" t="s">
        <v>52</v>
      </c>
      <c r="L66" s="131">
        <f>C66</f>
        <v>60</v>
      </c>
      <c r="M66" s="18">
        <f>E66</f>
        <v>1042413</v>
      </c>
      <c r="N66" s="18">
        <f>G66</f>
        <v>0</v>
      </c>
      <c r="O66" s="18">
        <f t="shared" si="1"/>
        <v>973283</v>
      </c>
      <c r="Q66" s="12" t="s">
        <v>52</v>
      </c>
      <c r="R66" s="18">
        <v>21972.396443726007</v>
      </c>
      <c r="S66" s="55">
        <v>5.6827659011166758E-4</v>
      </c>
      <c r="T66" s="18">
        <v>209530.25125628142</v>
      </c>
      <c r="U66" s="55">
        <v>5.5215413756236047E-3</v>
      </c>
      <c r="V66" s="18">
        <v>195674.1053478086</v>
      </c>
      <c r="W66" s="55">
        <v>5.6540351255384737E-3</v>
      </c>
    </row>
    <row r="67" spans="2:23" ht="22.5">
      <c r="B67" s="10" t="s">
        <v>692</v>
      </c>
      <c r="C67" s="22">
        <v>61</v>
      </c>
      <c r="D67" s="15"/>
      <c r="E67" s="172">
        <v>0</v>
      </c>
      <c r="F67" s="172"/>
      <c r="G67" s="172">
        <v>0</v>
      </c>
      <c r="H67" s="172"/>
      <c r="I67" s="172">
        <v>0</v>
      </c>
      <c r="J67" s="171"/>
      <c r="K67" s="10" t="s">
        <v>78</v>
      </c>
      <c r="L67" s="131">
        <f>C67</f>
        <v>61</v>
      </c>
      <c r="M67" s="13">
        <f>E67</f>
        <v>0</v>
      </c>
      <c r="N67" s="13">
        <f>G67</f>
        <v>0</v>
      </c>
      <c r="O67" s="13">
        <f t="shared" si="1"/>
        <v>0</v>
      </c>
      <c r="Q67" s="10" t="s">
        <v>348</v>
      </c>
      <c r="R67" s="13">
        <v>0</v>
      </c>
      <c r="S67" s="53"/>
      <c r="T67" s="13">
        <v>0</v>
      </c>
      <c r="U67" s="53"/>
      <c r="V67" s="13">
        <v>0</v>
      </c>
      <c r="W67" s="53"/>
    </row>
    <row r="68" spans="2:23">
      <c r="B68" s="10" t="s">
        <v>693</v>
      </c>
      <c r="C68" s="22">
        <v>62</v>
      </c>
      <c r="D68" s="15"/>
      <c r="E68" s="172">
        <v>2696216</v>
      </c>
      <c r="F68" s="172"/>
      <c r="G68" s="172">
        <v>0</v>
      </c>
      <c r="H68" s="172"/>
      <c r="I68" s="172">
        <v>909264</v>
      </c>
      <c r="J68" s="171"/>
      <c r="K68" s="10" t="s">
        <v>79</v>
      </c>
      <c r="L68" s="131">
        <f>C68</f>
        <v>62</v>
      </c>
      <c r="M68" s="13">
        <f>E68</f>
        <v>2696216</v>
      </c>
      <c r="N68" s="13">
        <f>G68</f>
        <v>0</v>
      </c>
      <c r="O68" s="13">
        <f t="shared" si="1"/>
        <v>909264</v>
      </c>
      <c r="Q68" s="10" t="s">
        <v>349</v>
      </c>
      <c r="R68" s="13">
        <v>506588.4016973126</v>
      </c>
      <c r="S68" s="53">
        <v>1.3101999604092814E-2</v>
      </c>
      <c r="T68" s="13">
        <v>541952.96482412063</v>
      </c>
      <c r="U68" s="53">
        <v>1.4281545032168988E-2</v>
      </c>
      <c r="V68" s="13">
        <v>182803.3775633293</v>
      </c>
      <c r="W68" s="53">
        <v>5.2821333511297482E-3</v>
      </c>
    </row>
    <row r="69" spans="2:23">
      <c r="B69" s="12" t="s">
        <v>694</v>
      </c>
      <c r="C69" s="22">
        <v>63</v>
      </c>
      <c r="D69" s="15"/>
      <c r="E69" s="172">
        <v>0</v>
      </c>
      <c r="F69" s="172"/>
      <c r="G69" s="172">
        <v>0</v>
      </c>
      <c r="H69" s="172"/>
      <c r="I69" s="172">
        <v>0</v>
      </c>
      <c r="J69" s="171"/>
      <c r="K69" s="12" t="s">
        <v>53</v>
      </c>
      <c r="L69" s="131">
        <f>C69</f>
        <v>63</v>
      </c>
      <c r="M69" s="13">
        <f>E69</f>
        <v>0</v>
      </c>
      <c r="N69" s="13">
        <f>G69</f>
        <v>0</v>
      </c>
      <c r="O69" s="13">
        <f t="shared" si="1"/>
        <v>0</v>
      </c>
      <c r="Q69" s="12" t="s">
        <v>350</v>
      </c>
      <c r="R69" s="13">
        <v>0</v>
      </c>
      <c r="S69" s="53"/>
      <c r="T69" s="13">
        <v>0</v>
      </c>
      <c r="U69" s="53"/>
      <c r="V69" s="13">
        <v>0</v>
      </c>
      <c r="W69" s="53"/>
    </row>
    <row r="70" spans="2:23">
      <c r="B70" s="191" t="s">
        <v>695</v>
      </c>
      <c r="C70" s="193">
        <v>64</v>
      </c>
      <c r="D70" s="196"/>
      <c r="E70" s="189">
        <v>3855130</v>
      </c>
      <c r="F70" s="189"/>
      <c r="G70" s="189">
        <v>0</v>
      </c>
      <c r="H70" s="189"/>
      <c r="I70" s="189">
        <v>2045447</v>
      </c>
      <c r="J70" s="171"/>
      <c r="K70" s="191" t="s">
        <v>54</v>
      </c>
      <c r="L70" s="192">
        <f>C70</f>
        <v>64</v>
      </c>
      <c r="M70" s="189">
        <f>E70</f>
        <v>3855130</v>
      </c>
      <c r="N70" s="189">
        <f>G70</f>
        <v>0</v>
      </c>
      <c r="O70" s="189">
        <f t="shared" si="1"/>
        <v>2045447</v>
      </c>
      <c r="Q70" s="191" t="s">
        <v>351</v>
      </c>
      <c r="R70" s="189">
        <v>579822.59042230761</v>
      </c>
      <c r="S70" s="190">
        <v>1.4996070428584873E-2</v>
      </c>
      <c r="T70" s="189">
        <v>774900.50251256279</v>
      </c>
      <c r="U70" s="190">
        <v>2.0420178761592404E-2</v>
      </c>
      <c r="V70" s="189">
        <v>411227.78447929228</v>
      </c>
      <c r="W70" s="190">
        <v>1.1882493771521022E-2</v>
      </c>
    </row>
    <row r="71" spans="2:23" ht="23.25" thickBot="1">
      <c r="B71" s="5" t="s">
        <v>696</v>
      </c>
      <c r="C71" s="22">
        <v>65</v>
      </c>
      <c r="D71" s="15"/>
      <c r="E71" s="178">
        <v>0</v>
      </c>
      <c r="F71" s="178"/>
      <c r="G71" s="178">
        <v>0</v>
      </c>
      <c r="H71" s="178"/>
      <c r="I71" s="178">
        <v>0</v>
      </c>
      <c r="J71" s="171"/>
      <c r="K71" s="10" t="s">
        <v>80</v>
      </c>
      <c r="L71" s="131">
        <f>C71</f>
        <v>65</v>
      </c>
      <c r="M71" s="19">
        <f>E71</f>
        <v>0</v>
      </c>
      <c r="N71" s="19">
        <f>G71</f>
        <v>0</v>
      </c>
      <c r="O71" s="19">
        <f t="shared" si="1"/>
        <v>0</v>
      </c>
      <c r="Q71" s="10" t="s">
        <v>352</v>
      </c>
      <c r="R71" s="13">
        <v>0</v>
      </c>
      <c r="S71" s="53"/>
      <c r="T71" s="13">
        <v>0</v>
      </c>
      <c r="U71" s="53"/>
      <c r="V71" s="13">
        <v>0</v>
      </c>
      <c r="W71" s="53">
        <v>0</v>
      </c>
    </row>
    <row r="72" spans="2:23">
      <c r="B72" s="10" t="s">
        <v>697</v>
      </c>
      <c r="C72" s="22">
        <v>66</v>
      </c>
      <c r="D72" s="15"/>
      <c r="E72" s="172">
        <v>0</v>
      </c>
      <c r="F72" s="172"/>
      <c r="G72" s="172">
        <v>0</v>
      </c>
      <c r="H72" s="172"/>
      <c r="I72" s="172">
        <v>0</v>
      </c>
      <c r="J72" s="171"/>
      <c r="K72" s="10" t="s">
        <v>55</v>
      </c>
      <c r="L72" s="131">
        <f>C72</f>
        <v>66</v>
      </c>
      <c r="M72" s="13">
        <f>E72</f>
        <v>0</v>
      </c>
      <c r="N72" s="13">
        <f>G72</f>
        <v>0</v>
      </c>
      <c r="O72" s="13">
        <f t="shared" si="1"/>
        <v>0</v>
      </c>
      <c r="Q72" s="10" t="s">
        <v>353</v>
      </c>
      <c r="R72" s="13">
        <v>0</v>
      </c>
      <c r="S72" s="53"/>
      <c r="T72" s="13">
        <v>0</v>
      </c>
      <c r="U72" s="53"/>
      <c r="V72" s="13">
        <v>0</v>
      </c>
      <c r="W72" s="53"/>
    </row>
    <row r="73" spans="2:23">
      <c r="B73" s="10" t="s">
        <v>698</v>
      </c>
      <c r="C73" s="22">
        <v>67</v>
      </c>
      <c r="D73" s="15"/>
      <c r="E73" s="172">
        <v>0</v>
      </c>
      <c r="F73" s="172"/>
      <c r="G73" s="172">
        <v>0</v>
      </c>
      <c r="H73" s="172"/>
      <c r="I73" s="172">
        <v>0</v>
      </c>
      <c r="J73" s="171"/>
      <c r="K73" s="10" t="s">
        <v>56</v>
      </c>
      <c r="L73" s="131">
        <f>C73</f>
        <v>67</v>
      </c>
      <c r="M73" s="13">
        <f>E73</f>
        <v>0</v>
      </c>
      <c r="N73" s="13">
        <f>G73</f>
        <v>0</v>
      </c>
      <c r="O73" s="13">
        <f t="shared" si="1"/>
        <v>0</v>
      </c>
      <c r="Q73" s="10" t="s">
        <v>354</v>
      </c>
      <c r="R73" s="13">
        <v>0</v>
      </c>
      <c r="S73" s="53"/>
      <c r="T73" s="13">
        <v>0</v>
      </c>
      <c r="U73" s="53"/>
      <c r="V73" s="13">
        <v>0</v>
      </c>
      <c r="W73" s="53"/>
    </row>
    <row r="74" spans="2:23">
      <c r="B74" s="5" t="s">
        <v>699</v>
      </c>
      <c r="C74" s="22">
        <v>68</v>
      </c>
      <c r="D74" s="15"/>
      <c r="E74" s="172">
        <v>2025963</v>
      </c>
      <c r="F74" s="172"/>
      <c r="G74" s="172">
        <v>0</v>
      </c>
      <c r="H74" s="172"/>
      <c r="I74" s="172">
        <v>1659717</v>
      </c>
      <c r="J74" s="171"/>
      <c r="K74" s="10" t="s">
        <v>81</v>
      </c>
      <c r="L74" s="131">
        <f>C74</f>
        <v>68</v>
      </c>
      <c r="M74" s="13">
        <f>E74</f>
        <v>2025963</v>
      </c>
      <c r="N74" s="13">
        <f>G74</f>
        <v>0</v>
      </c>
      <c r="O74" s="13">
        <f t="shared" si="1"/>
        <v>1659717</v>
      </c>
      <c r="Q74" s="10" t="s">
        <v>355</v>
      </c>
      <c r="R74" s="13">
        <v>281040.00808244088</v>
      </c>
      <c r="S74" s="53">
        <v>7.2685952980630891E-3</v>
      </c>
      <c r="T74" s="13">
        <v>407228.74371859297</v>
      </c>
      <c r="U74" s="53">
        <v>1.0731292232524463E-2</v>
      </c>
      <c r="V74" s="13">
        <v>333678.52834740648</v>
      </c>
      <c r="W74" s="53">
        <v>9.6416953922480297E-3</v>
      </c>
    </row>
    <row r="75" spans="2:23">
      <c r="B75" s="10" t="s">
        <v>700</v>
      </c>
      <c r="C75" s="22">
        <v>69</v>
      </c>
      <c r="D75" s="15"/>
      <c r="E75" s="176"/>
      <c r="F75" s="176"/>
      <c r="G75" s="176"/>
      <c r="H75" s="176"/>
      <c r="I75" s="176"/>
      <c r="J75" s="171"/>
      <c r="K75" s="10" t="s">
        <v>36</v>
      </c>
      <c r="L75" s="131">
        <f>C75</f>
        <v>69</v>
      </c>
      <c r="M75" s="18">
        <f>E75</f>
        <v>0</v>
      </c>
      <c r="N75" s="18">
        <f>G75</f>
        <v>0</v>
      </c>
      <c r="O75" s="18">
        <f t="shared" si="1"/>
        <v>0</v>
      </c>
      <c r="Q75" s="10" t="s">
        <v>36</v>
      </c>
      <c r="R75" s="18">
        <v>465.34653465346537</v>
      </c>
      <c r="S75" s="55">
        <v>1.2035352748637574E-5</v>
      </c>
      <c r="T75" s="18">
        <v>0</v>
      </c>
      <c r="U75" s="55"/>
      <c r="V75" s="18">
        <v>0</v>
      </c>
      <c r="W75" s="55"/>
    </row>
    <row r="76" spans="2:23">
      <c r="B76" s="10" t="s">
        <v>701</v>
      </c>
      <c r="C76" s="22">
        <v>70</v>
      </c>
      <c r="D76" s="15"/>
      <c r="E76" s="172">
        <v>2735857</v>
      </c>
      <c r="F76" s="172"/>
      <c r="G76" s="172">
        <v>0</v>
      </c>
      <c r="H76" s="172"/>
      <c r="I76" s="172">
        <v>684219</v>
      </c>
      <c r="J76" s="171"/>
      <c r="K76" s="10" t="s">
        <v>82</v>
      </c>
      <c r="L76" s="131">
        <f>C76</f>
        <v>70</v>
      </c>
      <c r="M76" s="13">
        <f>E76</f>
        <v>2735857</v>
      </c>
      <c r="N76" s="13">
        <f>G76</f>
        <v>0</v>
      </c>
      <c r="O76" s="13">
        <f t="shared" si="1"/>
        <v>684219</v>
      </c>
      <c r="Q76" s="10" t="s">
        <v>356</v>
      </c>
      <c r="R76" s="13">
        <v>455423.11578096589</v>
      </c>
      <c r="S76" s="53">
        <v>1.1778701333597045E-2</v>
      </c>
      <c r="T76" s="13">
        <v>549921.00502512569</v>
      </c>
      <c r="U76" s="53">
        <v>1.449151883494303E-2</v>
      </c>
      <c r="V76" s="13">
        <v>137559.10735826296</v>
      </c>
      <c r="W76" s="53">
        <v>3.9747927987654249E-3</v>
      </c>
    </row>
    <row r="77" spans="2:23" ht="12" thickBot="1">
      <c r="B77" s="191" t="s">
        <v>702</v>
      </c>
      <c r="C77" s="193">
        <v>71</v>
      </c>
      <c r="D77" s="196"/>
      <c r="E77" s="197">
        <v>4761820</v>
      </c>
      <c r="F77" s="197"/>
      <c r="G77" s="197">
        <v>0</v>
      </c>
      <c r="H77" s="197"/>
      <c r="I77" s="197">
        <v>2343936</v>
      </c>
      <c r="J77" s="171"/>
      <c r="K77" s="191" t="s">
        <v>57</v>
      </c>
      <c r="L77" s="192">
        <f>C77</f>
        <v>71</v>
      </c>
      <c r="M77" s="189">
        <f>E77</f>
        <v>4761820</v>
      </c>
      <c r="N77" s="189">
        <f>G77</f>
        <v>0</v>
      </c>
      <c r="O77" s="189">
        <f t="shared" si="1"/>
        <v>2343936</v>
      </c>
      <c r="Q77" s="191" t="s">
        <v>357</v>
      </c>
      <c r="R77" s="189">
        <v>736463.12386340671</v>
      </c>
      <c r="S77" s="190">
        <v>1.9047296631660132E-2</v>
      </c>
      <c r="T77" s="189">
        <v>957149.74874371872</v>
      </c>
      <c r="U77" s="190">
        <v>2.5222811067467495E-2</v>
      </c>
      <c r="V77" s="189">
        <v>471237.63570566941</v>
      </c>
      <c r="W77" s="190">
        <v>1.3616488191013455E-2</v>
      </c>
    </row>
    <row r="78" spans="2:23">
      <c r="B78" s="10" t="s">
        <v>703</v>
      </c>
      <c r="C78" s="22">
        <v>72</v>
      </c>
      <c r="D78" s="32"/>
      <c r="E78" s="173">
        <v>0</v>
      </c>
      <c r="F78" s="173"/>
      <c r="G78" s="173">
        <v>0</v>
      </c>
      <c r="H78" s="173"/>
      <c r="I78" s="173">
        <v>0</v>
      </c>
      <c r="J78" s="171"/>
      <c r="K78" s="10" t="s">
        <v>58</v>
      </c>
      <c r="L78" s="131">
        <f>C78</f>
        <v>72</v>
      </c>
      <c r="M78" s="9">
        <f>E78</f>
        <v>0</v>
      </c>
      <c r="N78" s="9">
        <f>G78</f>
        <v>0</v>
      </c>
      <c r="O78" s="9">
        <f t="shared" si="1"/>
        <v>0</v>
      </c>
      <c r="Q78" s="10" t="s">
        <v>344</v>
      </c>
      <c r="R78" s="9">
        <v>0</v>
      </c>
      <c r="S78" s="50"/>
      <c r="T78" s="9">
        <v>0</v>
      </c>
      <c r="U78" s="50"/>
      <c r="V78" s="9">
        <v>0</v>
      </c>
      <c r="W78" s="50"/>
    </row>
    <row r="79" spans="2:23">
      <c r="B79" s="10" t="s">
        <v>704</v>
      </c>
      <c r="C79" s="22">
        <v>73</v>
      </c>
      <c r="D79" s="32"/>
      <c r="E79" s="173">
        <v>906690</v>
      </c>
      <c r="F79" s="173"/>
      <c r="G79" s="173">
        <v>0</v>
      </c>
      <c r="H79" s="173"/>
      <c r="I79" s="173">
        <v>298489</v>
      </c>
      <c r="J79" s="171"/>
      <c r="K79" s="10" t="s">
        <v>59</v>
      </c>
      <c r="L79" s="131">
        <f>C79</f>
        <v>73</v>
      </c>
      <c r="M79" s="9">
        <f>E79</f>
        <v>906690</v>
      </c>
      <c r="N79" s="9">
        <f>G79</f>
        <v>0</v>
      </c>
      <c r="O79" s="9">
        <f t="shared" si="1"/>
        <v>298489</v>
      </c>
      <c r="Q79" s="10" t="s">
        <v>345</v>
      </c>
      <c r="R79" s="13">
        <v>156640.53344109922</v>
      </c>
      <c r="S79" s="53">
        <v>4.0512262030752621E-3</v>
      </c>
      <c r="T79" s="13">
        <v>182249.24623115579</v>
      </c>
      <c r="U79" s="53">
        <v>4.8026323058750859E-3</v>
      </c>
      <c r="V79" s="13">
        <v>60009.851226377155</v>
      </c>
      <c r="W79" s="53">
        <v>1.7339944194924327E-3</v>
      </c>
    </row>
    <row r="80" spans="2:23">
      <c r="B80" s="191" t="s">
        <v>705</v>
      </c>
      <c r="C80" s="195">
        <v>74</v>
      </c>
      <c r="D80" s="196"/>
      <c r="E80" s="189">
        <v>192645348</v>
      </c>
      <c r="F80" s="189"/>
      <c r="G80" s="189">
        <v>0</v>
      </c>
      <c r="H80" s="189"/>
      <c r="I80" s="189">
        <v>174184986</v>
      </c>
      <c r="J80" s="180"/>
      <c r="K80" s="191" t="s">
        <v>60</v>
      </c>
      <c r="L80" s="192">
        <f>C80</f>
        <v>74</v>
      </c>
      <c r="M80" s="189">
        <f>E80</f>
        <v>192645348</v>
      </c>
      <c r="N80" s="189">
        <f>G80</f>
        <v>0</v>
      </c>
      <c r="O80" s="189">
        <f t="shared" si="1"/>
        <v>174184986</v>
      </c>
      <c r="Q80" s="191" t="s">
        <v>358</v>
      </c>
      <c r="R80" s="189">
        <v>39244791.068902805</v>
      </c>
      <c r="S80" s="190">
        <v>1.014996070428585</v>
      </c>
      <c r="T80" s="189">
        <v>38722683.015075371</v>
      </c>
      <c r="U80" s="190">
        <v>1.0204201787615923</v>
      </c>
      <c r="V80" s="189">
        <v>35019096.501809403</v>
      </c>
      <c r="W80" s="190">
        <v>1.011882493771521</v>
      </c>
    </row>
    <row r="81" spans="2:23">
      <c r="B81" s="191" t="s">
        <v>706</v>
      </c>
      <c r="C81" s="195">
        <v>75</v>
      </c>
      <c r="D81" s="196"/>
      <c r="E81" s="189">
        <v>184875397</v>
      </c>
      <c r="F81" s="189"/>
      <c r="G81" s="189">
        <v>0</v>
      </c>
      <c r="H81" s="189"/>
      <c r="I81" s="189">
        <v>171738466</v>
      </c>
      <c r="J81" s="15"/>
      <c r="K81" s="191" t="s">
        <v>61</v>
      </c>
      <c r="L81" s="192">
        <f>C81</f>
        <v>75</v>
      </c>
      <c r="M81" s="189">
        <f>E81</f>
        <v>184875397</v>
      </c>
      <c r="N81" s="189">
        <f>G81</f>
        <v>0</v>
      </c>
      <c r="O81" s="189">
        <f t="shared" si="1"/>
        <v>171738466</v>
      </c>
      <c r="Q81" s="191" t="s">
        <v>359</v>
      </c>
      <c r="R81" s="189">
        <v>36905286.118407756</v>
      </c>
      <c r="S81" s="190">
        <v>0.95448897466314719</v>
      </c>
      <c r="T81" s="189">
        <v>37160883.819095485</v>
      </c>
      <c r="U81" s="190">
        <v>0.97926364489922912</v>
      </c>
      <c r="V81" s="189">
        <v>34527234.821069561</v>
      </c>
      <c r="W81" s="190">
        <v>0.99767007044209643</v>
      </c>
    </row>
    <row r="82" spans="2:23" ht="12">
      <c r="B82" s="186" t="s">
        <v>707</v>
      </c>
      <c r="C82" s="22"/>
      <c r="D82" s="32"/>
      <c r="E82" s="173"/>
      <c r="F82" s="173"/>
      <c r="G82" s="173"/>
      <c r="H82" s="173"/>
      <c r="I82" s="173"/>
      <c r="J82" s="15"/>
      <c r="K82" s="186" t="s">
        <v>62</v>
      </c>
      <c r="L82" s="131"/>
      <c r="M82" s="13">
        <f>E82</f>
        <v>0</v>
      </c>
      <c r="N82" s="13">
        <f>G82</f>
        <v>0</v>
      </c>
      <c r="O82" s="13">
        <f t="shared" si="1"/>
        <v>0</v>
      </c>
      <c r="Q82" s="17" t="s">
        <v>62</v>
      </c>
      <c r="R82" s="13">
        <v>0</v>
      </c>
      <c r="S82" s="53"/>
      <c r="T82" s="13">
        <v>0</v>
      </c>
      <c r="U82" s="53"/>
      <c r="V82" s="13">
        <v>0</v>
      </c>
      <c r="W82" s="53"/>
    </row>
    <row r="83" spans="2:23">
      <c r="B83" s="10" t="s">
        <v>708</v>
      </c>
      <c r="C83" s="22">
        <v>76</v>
      </c>
      <c r="D83" s="15"/>
      <c r="E83" s="172">
        <v>7769951</v>
      </c>
      <c r="F83" s="172"/>
      <c r="G83" s="172">
        <v>0</v>
      </c>
      <c r="H83" s="172"/>
      <c r="I83" s="172">
        <v>2446520</v>
      </c>
      <c r="J83" s="15"/>
      <c r="K83" s="10" t="s">
        <v>63</v>
      </c>
      <c r="L83" s="181">
        <f>C83</f>
        <v>76</v>
      </c>
      <c r="M83" s="13">
        <f>E83</f>
        <v>7769951</v>
      </c>
      <c r="N83" s="13">
        <f>G83</f>
        <v>0</v>
      </c>
      <c r="O83" s="13">
        <f t="shared" si="1"/>
        <v>2446520</v>
      </c>
      <c r="Q83" s="10" t="s">
        <v>344</v>
      </c>
      <c r="R83" s="13">
        <v>2339504.9504950494</v>
      </c>
      <c r="S83" s="53">
        <v>6.0507095765437703E-2</v>
      </c>
      <c r="T83" s="13">
        <v>1561799.1959798995</v>
      </c>
      <c r="U83" s="53">
        <v>4.1156533862363572E-2</v>
      </c>
      <c r="V83" s="13">
        <v>491861.68073984719</v>
      </c>
      <c r="W83" s="53">
        <v>1.4212423329424625E-2</v>
      </c>
    </row>
    <row r="84" spans="2:23">
      <c r="B84" s="10" t="s">
        <v>709</v>
      </c>
      <c r="C84" s="22">
        <v>77</v>
      </c>
      <c r="D84" s="15"/>
      <c r="E84" s="172">
        <v>0</v>
      </c>
      <c r="F84" s="172"/>
      <c r="G84" s="172">
        <v>0</v>
      </c>
      <c r="H84" s="172"/>
      <c r="I84" s="172">
        <v>0</v>
      </c>
      <c r="J84" s="15"/>
      <c r="K84" s="10" t="s">
        <v>64</v>
      </c>
      <c r="L84" s="181">
        <f>C84</f>
        <v>77</v>
      </c>
      <c r="M84" s="13">
        <f>E84</f>
        <v>0</v>
      </c>
      <c r="N84" s="13">
        <f>G84</f>
        <v>0</v>
      </c>
      <c r="O84" s="13">
        <f t="shared" si="1"/>
        <v>0</v>
      </c>
      <c r="Q84" s="10" t="s">
        <v>345</v>
      </c>
      <c r="R84" s="13">
        <v>0</v>
      </c>
      <c r="S84" s="53"/>
      <c r="T84" s="13">
        <v>0</v>
      </c>
      <c r="U84" s="53"/>
      <c r="V84" s="13">
        <v>0</v>
      </c>
      <c r="W84" s="53"/>
    </row>
    <row r="85" spans="2:23">
      <c r="B85" s="5" t="s">
        <v>710</v>
      </c>
      <c r="C85" s="22">
        <v>78</v>
      </c>
      <c r="D85" s="15"/>
      <c r="E85" s="173">
        <v>1346234</v>
      </c>
      <c r="F85" s="173"/>
      <c r="G85" s="173">
        <v>0</v>
      </c>
      <c r="H85" s="173"/>
      <c r="I85" s="173">
        <v>657346</v>
      </c>
      <c r="J85" s="15"/>
      <c r="K85" s="5" t="s">
        <v>65</v>
      </c>
      <c r="L85" s="131">
        <f>C85</f>
        <v>78</v>
      </c>
      <c r="M85" s="9">
        <f>E85</f>
        <v>1346234</v>
      </c>
      <c r="N85" s="9">
        <f>G85</f>
        <v>0</v>
      </c>
      <c r="O85" s="9">
        <f t="shared" ref="O85:O98" si="2">I85</f>
        <v>657346</v>
      </c>
      <c r="Q85" s="5" t="s">
        <v>360</v>
      </c>
      <c r="R85" s="9">
        <v>364367.75106082036</v>
      </c>
      <c r="S85" s="50">
        <v>9.4237177838025158E-3</v>
      </c>
      <c r="T85" s="9">
        <v>270599.79899497487</v>
      </c>
      <c r="U85" s="50">
        <v>7.130846154327763E-3</v>
      </c>
      <c r="V85" s="9">
        <v>132156.41334941695</v>
      </c>
      <c r="W85" s="50">
        <v>3.8186810759380505E-3</v>
      </c>
    </row>
    <row r="86" spans="2:23">
      <c r="B86" s="5"/>
      <c r="C86" s="22"/>
      <c r="D86" s="15"/>
      <c r="E86" s="173"/>
      <c r="F86" s="173"/>
      <c r="G86" s="173"/>
      <c r="H86" s="173"/>
      <c r="I86" s="173"/>
      <c r="J86" s="15"/>
      <c r="K86" s="20"/>
      <c r="L86" s="131">
        <f>C86</f>
        <v>0</v>
      </c>
      <c r="M86" s="9">
        <f>E86</f>
        <v>0</v>
      </c>
      <c r="N86" s="9">
        <f>G86</f>
        <v>0</v>
      </c>
      <c r="O86" s="9">
        <f t="shared" si="2"/>
        <v>0</v>
      </c>
      <c r="Q86" s="20"/>
      <c r="R86" s="9">
        <v>0</v>
      </c>
      <c r="S86" s="50"/>
      <c r="T86" s="9">
        <v>0</v>
      </c>
      <c r="U86" s="50"/>
      <c r="V86" s="9">
        <v>0</v>
      </c>
      <c r="W86" s="50"/>
    </row>
    <row r="87" spans="2:23" ht="33.75">
      <c r="B87" s="10" t="s">
        <v>711</v>
      </c>
      <c r="C87" s="22">
        <v>79</v>
      </c>
      <c r="D87" s="15"/>
      <c r="E87" s="172">
        <v>0</v>
      </c>
      <c r="F87" s="172"/>
      <c r="G87" s="172">
        <v>0</v>
      </c>
      <c r="H87" s="172"/>
      <c r="I87" s="172">
        <v>0</v>
      </c>
      <c r="J87" s="15"/>
      <c r="K87" s="10" t="s">
        <v>83</v>
      </c>
      <c r="L87" s="131">
        <f>C87</f>
        <v>79</v>
      </c>
      <c r="M87" s="9">
        <f>E87</f>
        <v>0</v>
      </c>
      <c r="N87" s="9">
        <f>G87</f>
        <v>0</v>
      </c>
      <c r="O87" s="9">
        <f t="shared" si="2"/>
        <v>0</v>
      </c>
      <c r="Q87" s="10" t="s">
        <v>361</v>
      </c>
      <c r="R87" s="9">
        <v>0</v>
      </c>
      <c r="S87" s="50"/>
      <c r="T87" s="9">
        <v>0</v>
      </c>
      <c r="U87" s="50"/>
      <c r="V87" s="9">
        <v>0</v>
      </c>
      <c r="W87" s="50"/>
    </row>
    <row r="88" spans="2:23">
      <c r="B88" s="10"/>
      <c r="C88" s="22"/>
      <c r="D88" s="15"/>
      <c r="E88" s="173"/>
      <c r="F88" s="173"/>
      <c r="G88" s="173"/>
      <c r="H88" s="173"/>
      <c r="I88" s="173"/>
      <c r="J88" s="15"/>
      <c r="K88" s="10"/>
      <c r="L88" s="131">
        <f>C88</f>
        <v>0</v>
      </c>
      <c r="M88" s="9">
        <f>E88</f>
        <v>0</v>
      </c>
      <c r="N88" s="9">
        <f>G88</f>
        <v>0</v>
      </c>
      <c r="O88" s="9">
        <f t="shared" si="2"/>
        <v>0</v>
      </c>
      <c r="Q88" s="10"/>
      <c r="R88" s="9">
        <v>0</v>
      </c>
      <c r="S88" s="50"/>
      <c r="T88" s="9">
        <v>0</v>
      </c>
      <c r="U88" s="50"/>
      <c r="V88" s="9">
        <v>0</v>
      </c>
      <c r="W88" s="50"/>
    </row>
    <row r="89" spans="2:23" ht="22.5">
      <c r="B89" s="10" t="s">
        <v>712</v>
      </c>
      <c r="C89" s="22">
        <v>80</v>
      </c>
      <c r="D89" s="15"/>
      <c r="E89" s="172">
        <v>0</v>
      </c>
      <c r="F89" s="172"/>
      <c r="G89" s="172">
        <v>0</v>
      </c>
      <c r="H89" s="172"/>
      <c r="I89" s="172">
        <v>0</v>
      </c>
      <c r="J89" s="15"/>
      <c r="K89" s="10" t="s">
        <v>84</v>
      </c>
      <c r="L89" s="131">
        <f>C89</f>
        <v>80</v>
      </c>
      <c r="M89" s="9">
        <f>E89</f>
        <v>0</v>
      </c>
      <c r="N89" s="9">
        <f>G89</f>
        <v>0</v>
      </c>
      <c r="O89" s="9">
        <f t="shared" si="2"/>
        <v>0</v>
      </c>
      <c r="Q89" s="10" t="s">
        <v>362</v>
      </c>
      <c r="R89" s="9">
        <v>0</v>
      </c>
      <c r="S89" s="50"/>
      <c r="T89" s="9">
        <v>0</v>
      </c>
      <c r="U89" s="50"/>
      <c r="V89" s="9">
        <v>0</v>
      </c>
      <c r="W89" s="50"/>
    </row>
    <row r="90" spans="2:23">
      <c r="B90" s="5"/>
      <c r="C90" s="22"/>
      <c r="D90" s="15"/>
      <c r="E90" s="173"/>
      <c r="F90" s="173"/>
      <c r="G90" s="173"/>
      <c r="H90" s="173"/>
      <c r="I90" s="173"/>
      <c r="J90" s="15"/>
      <c r="K90" s="5"/>
      <c r="L90" s="131">
        <f>C90</f>
        <v>0</v>
      </c>
      <c r="M90" s="9">
        <f>E90</f>
        <v>0</v>
      </c>
      <c r="N90" s="9">
        <f>G90</f>
        <v>0</v>
      </c>
      <c r="O90" s="9">
        <f t="shared" si="2"/>
        <v>0</v>
      </c>
      <c r="Q90" s="5"/>
      <c r="R90" s="9">
        <v>0</v>
      </c>
      <c r="S90" s="50"/>
      <c r="T90" s="9">
        <v>0</v>
      </c>
      <c r="U90" s="50"/>
      <c r="V90" s="9">
        <v>0</v>
      </c>
      <c r="W90" s="50"/>
    </row>
    <row r="91" spans="2:23" ht="22.5">
      <c r="B91" s="5" t="s">
        <v>713</v>
      </c>
      <c r="C91" s="22">
        <v>81</v>
      </c>
      <c r="D91" s="15"/>
      <c r="E91" s="173">
        <v>0</v>
      </c>
      <c r="F91" s="173"/>
      <c r="G91" s="173">
        <v>0</v>
      </c>
      <c r="H91" s="173"/>
      <c r="I91" s="173">
        <v>0</v>
      </c>
      <c r="J91" s="15"/>
      <c r="K91" s="5" t="s">
        <v>85</v>
      </c>
      <c r="L91" s="131">
        <f>C91</f>
        <v>81</v>
      </c>
      <c r="M91" s="9">
        <f>E91</f>
        <v>0</v>
      </c>
      <c r="N91" s="9">
        <f>G91</f>
        <v>0</v>
      </c>
      <c r="O91" s="9">
        <f t="shared" si="2"/>
        <v>0</v>
      </c>
      <c r="Q91" s="5" t="s">
        <v>363</v>
      </c>
      <c r="R91" s="9">
        <v>0</v>
      </c>
      <c r="S91" s="50"/>
      <c r="T91" s="9">
        <v>0</v>
      </c>
      <c r="U91" s="50"/>
      <c r="V91" s="9">
        <v>0</v>
      </c>
      <c r="W91" s="50"/>
    </row>
    <row r="92" spans="2:23">
      <c r="B92" s="5" t="s">
        <v>714</v>
      </c>
      <c r="C92" s="22">
        <v>82</v>
      </c>
      <c r="D92" s="15"/>
      <c r="E92" s="173">
        <v>0</v>
      </c>
      <c r="F92" s="173"/>
      <c r="G92" s="173">
        <v>0</v>
      </c>
      <c r="H92" s="173"/>
      <c r="I92" s="173">
        <v>0</v>
      </c>
      <c r="J92" s="15"/>
      <c r="K92" s="5" t="s">
        <v>86</v>
      </c>
      <c r="L92" s="131">
        <f>C92</f>
        <v>82</v>
      </c>
      <c r="M92" s="9">
        <f>E92</f>
        <v>0</v>
      </c>
      <c r="N92" s="9">
        <f>G92</f>
        <v>0</v>
      </c>
      <c r="O92" s="9">
        <f t="shared" si="2"/>
        <v>0</v>
      </c>
      <c r="Q92" s="5" t="s">
        <v>364</v>
      </c>
      <c r="R92" s="9">
        <v>0</v>
      </c>
      <c r="S92" s="50"/>
      <c r="T92" s="9">
        <v>0</v>
      </c>
      <c r="U92" s="50"/>
      <c r="V92" s="9">
        <v>0</v>
      </c>
      <c r="W92" s="50"/>
    </row>
    <row r="93" spans="2:23" ht="22.5">
      <c r="B93" s="188" t="s">
        <v>715</v>
      </c>
      <c r="C93" s="193">
        <v>83</v>
      </c>
      <c r="D93" s="194"/>
      <c r="E93" s="189">
        <v>6423717</v>
      </c>
      <c r="F93" s="189"/>
      <c r="G93" s="189">
        <v>0</v>
      </c>
      <c r="H93" s="189"/>
      <c r="I93" s="189">
        <v>1789174</v>
      </c>
      <c r="J93" s="15"/>
      <c r="K93" s="188" t="s">
        <v>87</v>
      </c>
      <c r="L93" s="192">
        <f>C93</f>
        <v>83</v>
      </c>
      <c r="M93" s="189">
        <f>E93</f>
        <v>6423717</v>
      </c>
      <c r="N93" s="189">
        <f>G93</f>
        <v>0</v>
      </c>
      <c r="O93" s="189">
        <f t="shared" si="2"/>
        <v>1789174</v>
      </c>
      <c r="Q93" s="188" t="s">
        <v>365</v>
      </c>
      <c r="R93" s="189">
        <v>1975137.1994342289</v>
      </c>
      <c r="S93" s="190">
        <v>5.1083377981635182E-2</v>
      </c>
      <c r="T93" s="189">
        <v>1291199.3969849246</v>
      </c>
      <c r="U93" s="190">
        <v>3.4025687708035803E-2</v>
      </c>
      <c r="V93" s="189">
        <v>359705.26739043021</v>
      </c>
      <c r="W93" s="190">
        <v>1.0393742253486575E-2</v>
      </c>
    </row>
    <row r="94" spans="2:23" ht="23.25" thickBot="1">
      <c r="B94" s="12" t="s">
        <v>716</v>
      </c>
      <c r="C94" s="22">
        <v>84</v>
      </c>
      <c r="D94" s="15"/>
      <c r="E94" s="179">
        <v>0</v>
      </c>
      <c r="F94" s="179"/>
      <c r="G94" s="179">
        <v>0</v>
      </c>
      <c r="H94" s="179"/>
      <c r="I94" s="179">
        <v>0</v>
      </c>
      <c r="J94" s="15"/>
      <c r="K94" s="12" t="s">
        <v>66</v>
      </c>
      <c r="L94" s="131">
        <f>C94</f>
        <v>84</v>
      </c>
      <c r="M94" s="21">
        <f>E94</f>
        <v>0</v>
      </c>
      <c r="N94" s="21">
        <f>G94</f>
        <v>0</v>
      </c>
      <c r="O94" s="21">
        <f t="shared" si="2"/>
        <v>0</v>
      </c>
      <c r="Q94" s="12" t="s">
        <v>366</v>
      </c>
      <c r="R94" s="9">
        <v>0</v>
      </c>
      <c r="S94" s="50"/>
      <c r="T94" s="9">
        <v>0</v>
      </c>
      <c r="U94" s="50"/>
      <c r="V94" s="9">
        <v>0</v>
      </c>
      <c r="W94" s="50"/>
    </row>
    <row r="95" spans="2:23">
      <c r="B95" s="10"/>
      <c r="C95" s="22"/>
      <c r="D95" s="15"/>
      <c r="E95" s="182"/>
      <c r="F95" s="182"/>
      <c r="G95" s="182"/>
      <c r="H95" s="182"/>
      <c r="I95" s="182"/>
      <c r="J95" s="15"/>
      <c r="K95" s="10"/>
      <c r="L95" s="131"/>
      <c r="M95" s="15"/>
      <c r="N95" s="15">
        <f>G95</f>
        <v>0</v>
      </c>
      <c r="O95" s="15"/>
    </row>
    <row r="96" spans="2:23">
      <c r="B96" s="22"/>
      <c r="C96" s="22"/>
      <c r="D96" s="15"/>
      <c r="E96" s="176"/>
      <c r="F96" s="176"/>
      <c r="G96" s="176"/>
      <c r="H96" s="176"/>
      <c r="I96" s="176"/>
      <c r="J96" s="15"/>
      <c r="K96" s="22"/>
      <c r="L96" s="131"/>
      <c r="M96" s="18"/>
      <c r="N96" s="18">
        <f>G96</f>
        <v>0</v>
      </c>
      <c r="O96" s="18"/>
    </row>
    <row r="97" spans="2:23">
      <c r="B97" s="183" t="s">
        <v>717</v>
      </c>
      <c r="C97" s="184"/>
      <c r="D97" s="15"/>
      <c r="E97" s="173">
        <v>6423717</v>
      </c>
      <c r="F97" s="173"/>
      <c r="G97" s="173">
        <v>0</v>
      </c>
      <c r="H97" s="173"/>
      <c r="I97" s="173">
        <v>1789174</v>
      </c>
      <c r="J97" s="15"/>
      <c r="K97" s="185" t="s">
        <v>718</v>
      </c>
      <c r="L97" s="131"/>
      <c r="M97" s="9">
        <f>E97</f>
        <v>6423717</v>
      </c>
      <c r="N97" s="9">
        <f>G97</f>
        <v>0</v>
      </c>
      <c r="O97" s="9">
        <f t="shared" si="2"/>
        <v>1789174</v>
      </c>
      <c r="Q97" s="63" t="s">
        <v>206</v>
      </c>
      <c r="R97" s="9"/>
      <c r="S97" s="50"/>
      <c r="T97" s="128">
        <v>-0.34627356653766428</v>
      </c>
      <c r="U97" s="50"/>
      <c r="V97" s="128">
        <v>-0.72141772352869993</v>
      </c>
      <c r="W97" s="50"/>
    </row>
    <row r="98" spans="2:23">
      <c r="B98" s="183" t="s">
        <v>719</v>
      </c>
      <c r="C98" s="184"/>
      <c r="D98" s="15"/>
      <c r="E98" s="173">
        <v>6423717</v>
      </c>
      <c r="F98" s="173"/>
      <c r="G98" s="173">
        <v>0</v>
      </c>
      <c r="H98" s="173"/>
      <c r="I98" s="173">
        <v>1789174</v>
      </c>
      <c r="J98" s="15"/>
      <c r="K98" s="185" t="s">
        <v>720</v>
      </c>
      <c r="L98" s="131"/>
      <c r="M98" s="9">
        <f>E98</f>
        <v>6423717</v>
      </c>
      <c r="N98" s="9">
        <f>G98</f>
        <v>0</v>
      </c>
      <c r="O98" s="9">
        <f t="shared" si="2"/>
        <v>1789174</v>
      </c>
      <c r="Q98" s="22"/>
      <c r="R98" s="18"/>
      <c r="S98" s="55"/>
      <c r="T98" s="18"/>
      <c r="U98" s="55"/>
      <c r="V98" s="18"/>
      <c r="W98" s="55"/>
    </row>
    <row r="99" spans="2:23">
      <c r="Q99" s="3"/>
      <c r="R99" s="65"/>
      <c r="S99" s="52"/>
      <c r="T99" s="3"/>
      <c r="U99" s="52"/>
      <c r="V99" s="3"/>
      <c r="W99" s="52"/>
    </row>
    <row r="100" spans="2:23">
      <c r="Q100" s="3"/>
      <c r="R100" s="3"/>
      <c r="S100" s="52"/>
      <c r="T100" s="3"/>
      <c r="U100" s="52"/>
      <c r="V100" s="3"/>
      <c r="W100" s="52"/>
    </row>
    <row r="101" spans="2:23">
      <c r="Q101" s="115" t="s">
        <v>211</v>
      </c>
      <c r="R101" s="116">
        <v>2496145.4839361482</v>
      </c>
      <c r="S101" s="116"/>
      <c r="T101" s="116">
        <v>1744048.4422110554</v>
      </c>
      <c r="U101" s="116"/>
      <c r="V101" s="116">
        <v>551871.53196622431</v>
      </c>
      <c r="W101" s="65"/>
    </row>
    <row r="102" spans="2:23">
      <c r="Q102" s="3"/>
      <c r="R102" s="114">
        <v>6.4558321968512952E-2</v>
      </c>
      <c r="S102" s="114"/>
      <c r="T102" s="114">
        <v>4.5959166168238662E-2</v>
      </c>
      <c r="U102" s="114"/>
      <c r="V102" s="114">
        <v>1.5946417748917058E-2</v>
      </c>
      <c r="W102" s="65"/>
    </row>
    <row r="103" spans="2:23">
      <c r="Q103" s="115" t="s">
        <v>212</v>
      </c>
      <c r="R103" s="116">
        <v>5356188.7249949481</v>
      </c>
      <c r="S103" s="116"/>
      <c r="T103" s="116">
        <v>4654433.567839196</v>
      </c>
      <c r="U103" s="116"/>
      <c r="V103" s="116">
        <v>3053975.6735022115</v>
      </c>
      <c r="W103" s="52"/>
    </row>
    <row r="104" spans="2:23">
      <c r="Q104" s="3"/>
      <c r="R104" s="114">
        <v>0.13852820617133069</v>
      </c>
      <c r="S104" s="114"/>
      <c r="T104" s="114">
        <v>0.12265363770065672</v>
      </c>
      <c r="U104" s="114"/>
      <c r="V104" s="114">
        <v>8.824512420705391E-2</v>
      </c>
      <c r="W104" s="52"/>
    </row>
    <row r="105" spans="2:23">
      <c r="Q105" s="3"/>
      <c r="R105" s="3"/>
      <c r="S105" s="52"/>
      <c r="T105" s="3"/>
      <c r="U105" s="52"/>
      <c r="V105" s="3"/>
      <c r="W105" s="52"/>
    </row>
    <row r="106" spans="2:23">
      <c r="Q106" s="3" t="s">
        <v>213</v>
      </c>
      <c r="R106" s="3"/>
      <c r="S106" s="52"/>
      <c r="T106" s="3"/>
      <c r="U106" s="52"/>
      <c r="V106" s="116">
        <v>1000000</v>
      </c>
      <c r="W106" s="52"/>
    </row>
    <row r="107" spans="2:23">
      <c r="Q107" s="3"/>
      <c r="R107" s="3"/>
      <c r="S107" s="52"/>
      <c r="T107" s="3"/>
      <c r="U107" s="52"/>
      <c r="V107" s="3"/>
      <c r="W107" s="52"/>
    </row>
  </sheetData>
  <mergeCells count="3">
    <mergeCell ref="B2:I2"/>
    <mergeCell ref="K2:O2"/>
    <mergeCell ref="Q2:W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3f3c965-1005-42a8-bf2e-70de7e590206" xsi:nil="true"/>
    <lcf76f155ced4ddcb4097134ff3c332f xmlns="175e3186-fc26-4934-a0fc-345828dbdf10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7D901D032675DF4A92ECFB9B8496AB80" ma:contentTypeVersion="18" ma:contentTypeDescription="Ein neues Dokument erstellen." ma:contentTypeScope="" ma:versionID="875f746ff1c2bd09c44b2867eb0760ae">
  <xsd:schema xmlns:xsd="http://www.w3.org/2001/XMLSchema" xmlns:xs="http://www.w3.org/2001/XMLSchema" xmlns:p="http://schemas.microsoft.com/office/2006/metadata/properties" xmlns:ns2="175e3186-fc26-4934-a0fc-345828dbdf10" xmlns:ns3="a3f3c965-1005-42a8-bf2e-70de7e590206" targetNamespace="http://schemas.microsoft.com/office/2006/metadata/properties" ma:root="true" ma:fieldsID="619caf35193cddf6197dc978b2213e05" ns2:_="" ns3:_="">
    <xsd:import namespace="175e3186-fc26-4934-a0fc-345828dbdf10"/>
    <xsd:import namespace="a3f3c965-1005-42a8-bf2e-70de7e59020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5e3186-fc26-4934-a0fc-345828dbdf1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2" nillable="true" ma:taxonomy="true" ma:internalName="lcf76f155ced4ddcb4097134ff3c332f" ma:taxonomyFieldName="MediaServiceImageTags" ma:displayName="Bildmarkierungen" ma:readOnly="false" ma:fieldId="{5cf76f15-5ced-4ddc-b409-7134ff3c332f}" ma:taxonomyMulti="true" ma:sspId="387ad934-71f4-463b-ad3a-8cafd534107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f3c965-1005-42a8-bf2e-70de7e590206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bc7f3324-49df-421b-a2f8-43bef6f440fc}" ma:internalName="TaxCatchAll" ma:showField="CatchAllData" ma:web="a3f3c965-1005-42a8-bf2e-70de7e59020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2B2B3D5-DB33-461F-AE89-79C84D269D5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94BB292-8676-41AB-8D61-2B696B8BA4B3}">
  <ds:schemaRefs>
    <ds:schemaRef ds:uri="http://schemas.openxmlformats.org/package/2006/metadata/core-properties"/>
    <ds:schemaRef ds:uri="fbe7ef32-134b-4139-9e8e-3fbe11c82c11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purl.org/dc/elements/1.1/"/>
    <ds:schemaRef ds:uri="http://purl.org/dc/terms/"/>
    <ds:schemaRef ds:uri="http://purl.org/dc/dcmitype/"/>
    <ds:schemaRef ds:uri="a3f3c965-1005-42a8-bf2e-70de7e590206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EB59EFA5-899D-4D37-A7E3-7A0418A4D15D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P&amp;L 2022-2024</vt:lpstr>
      <vt:lpstr>Balance Sheet 2022-2024</vt:lpstr>
      <vt:lpstr>P&amp;L 2022-2024 (2)</vt:lpstr>
      <vt:lpstr>Balance Sheet 2022-2024 (2)</vt:lpstr>
      <vt:lpstr>Tabelle1</vt:lpstr>
      <vt:lpstr>Overview BS</vt:lpstr>
      <vt:lpstr>Overview PL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Majkel Szymanski</dc:creator>
  <cp:lastModifiedBy>Jonas Lauppe</cp:lastModifiedBy>
  <dcterms:created xsi:type="dcterms:W3CDTF">2015-06-05T18:19:34Z</dcterms:created>
  <dcterms:modified xsi:type="dcterms:W3CDTF">2026-01-06T15:48:00Z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0x0101007D901D032675DF4A92ECFB9B8496AB80</vt:lpwstr>
  </property>
  <property fmtid="{D5CDD505-2E9C-101B-9397-08002B2CF9AE}" pid="3" name="MediaServiceImageTags">
    <vt:lpwstr/>
  </property>
</Properties>
</file>